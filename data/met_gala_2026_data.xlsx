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7183f3d557fac854/Desktop/met_gala_26/"/>
    </mc:Choice>
  </mc:AlternateContent>
  <xr:revisionPtr revIDLastSave="789" documentId="8_{801A64D1-8B39-492D-8F2E-448479EA30BF}" xr6:coauthVersionLast="47" xr6:coauthVersionMax="47" xr10:uidLastSave="{0F653894-6D8D-46D0-979D-21A25BF90200}"/>
  <bookViews>
    <workbookView xWindow="-108" yWindow="-108" windowWidth="23256" windowHeight="12456" activeTab="3" xr2:uid="{3FB1C9E0-0AA6-4BD0-9BA6-A1472E43A723}"/>
  </bookViews>
  <sheets>
    <sheet name="dataset_metgala_26" sheetId="1" r:id="rId1"/>
    <sheet name="legend" sheetId="2" r:id="rId2"/>
    <sheet name="analysis_pivot" sheetId="3" r:id="rId3"/>
    <sheet name="charts" sheetId="4" r:id="rId4"/>
  </sheets>
  <definedNames>
    <definedName name="_xlnm._FilterDatabase" localSheetId="2" hidden="1">analysis_pivot!$Q$34:$R$40</definedName>
    <definedName name="_xlnm._FilterDatabase" localSheetId="3" hidden="1">charts!$B$100:$F$100</definedName>
    <definedName name="_xlnm._FilterDatabase" localSheetId="0" hidden="1">dataset_metgala_26!$B$1:$S$69</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<sst xmlns="http://schemas.openxmlformats.org/spreadsheetml/2006/main" count="1506" uniqueCount="687">
  <si>
    <t>Theme Interpretation</t>
  </si>
  <si>
    <t>Anatomical body</t>
  </si>
  <si>
    <t>Classical body</t>
  </si>
  <si>
    <t>Sculptural</t>
  </si>
  <si>
    <t>Painting-inspired</t>
  </si>
  <si>
    <t>Historical reference</t>
  </si>
  <si>
    <t>Surrealist</t>
  </si>
  <si>
    <t>Rihanna</t>
  </si>
  <si>
    <t>Maison Margiela</t>
  </si>
  <si>
    <t>Female</t>
  </si>
  <si>
    <t>Metallic grey</t>
  </si>
  <si>
    <t>Charcoal</t>
  </si>
  <si>
    <t>Vogue</t>
  </si>
  <si>
    <t>Celebrity</t>
  </si>
  <si>
    <t>Designer</t>
  </si>
  <si>
    <t>Fashion house</t>
  </si>
  <si>
    <t>Gender presentation</t>
  </si>
  <si>
    <t>Primary color</t>
  </si>
  <si>
    <t>Secondary color</t>
  </si>
  <si>
    <t>Silhouette</t>
  </si>
  <si>
    <t>Look category</t>
  </si>
  <si>
    <t>Material or texture</t>
  </si>
  <si>
    <t>Theme interpretation</t>
  </si>
  <si>
    <t>Art reference</t>
  </si>
  <si>
    <t>Best dressed</t>
  </si>
  <si>
    <t>Media source</t>
  </si>
  <si>
    <t>Notes</t>
  </si>
  <si>
    <t>No</t>
  </si>
  <si>
    <t>A$AP Rocky</t>
  </si>
  <si>
    <t>Chanel</t>
  </si>
  <si>
    <t>Matthieu Blazy</t>
  </si>
  <si>
    <t>Male</t>
  </si>
  <si>
    <t>Pink</t>
  </si>
  <si>
    <t>Black / white</t>
  </si>
  <si>
    <t>Tailored long coat</t>
  </si>
  <si>
    <t>Tailored menswear / coat look</t>
  </si>
  <si>
    <t>Matthieu Blazy-era Chanel / classic formalwear reinterpretation</t>
  </si>
  <si>
    <t>Vote Yes Percent</t>
  </si>
  <si>
    <t>Pink Chanel long coat with black satin lapels, bow tie, fringe detail, and floral brooch. The look reinterprets classic formal menswear through a softer couture-inspired color palette.</t>
  </si>
  <si>
    <t>Pink wool, black satin lapels, black piping, fringe detail, silk and feather camélia</t>
  </si>
  <si>
    <t xml:space="preserve">Tailoring as art </t>
  </si>
  <si>
    <t>Theme fit</t>
  </si>
  <si>
    <t>Medium</t>
  </si>
  <si>
    <t>Glenn Martens</t>
  </si>
  <si>
    <t>Duchess silk, recycled metal threads, crystal beads, antique jewels, chains, heavy embroidery</t>
  </si>
  <si>
    <t>Medieval Flemish architecture / Flanders, Belgium</t>
  </si>
  <si>
    <t>High</t>
  </si>
  <si>
    <t>Custom sculptural Maison Margiela gown by Glenn Martens, inspired by medieval Flemish architecture. The metallic cocoon-like structure makes the body look like an architectural sculpture.</t>
  </si>
  <si>
    <t>Emma Chamberlain</t>
  </si>
  <si>
    <t>Miguel Castro Freitas</t>
  </si>
  <si>
    <t>Mugler</t>
  </si>
  <si>
    <t>Yellow</t>
  </si>
  <si>
    <t>Blue / green / multicolor</t>
  </si>
  <si>
    <t>Mermaid / fitted gown</t>
  </si>
  <si>
    <t>Hand-painted gown / artistic gown</t>
  </si>
  <si>
    <t>Painted fabric, sheer sleeves, fringe details, flowing train</t>
  </si>
  <si>
    <t>Painting-inspired / Archival reference</t>
  </si>
  <si>
    <t>Archival Mugler look, including a butterfly dress from 1997 /Van Gogh-inspired / Starry Night-like color palette</t>
  </si>
  <si>
    <t>Yes</t>
  </si>
  <si>
    <t>Hand-painted Mugler look by Miguel Castro Freitas, inspired by archival Mugler designs including a 1997 butterfly dress. The colorful painterly surface strongly connects the gown to the “Fashion is Art” theme.</t>
  </si>
  <si>
    <t>Jeremy Pope</t>
  </si>
  <si>
    <t>Vivienne Westwood</t>
  </si>
  <si>
    <t>Black</t>
  </si>
  <si>
    <t>Gold / bronze / multicolor</t>
  </si>
  <si>
    <t>Corseted jacket with straight-leg trousers</t>
  </si>
  <si>
    <t>Tailored menswear / corset jacket look</t>
  </si>
  <si>
    <t>Duchess silk, pearls, glass beads, sequins, stones, heavy embroidery</t>
  </si>
  <si>
    <t>Historical / Corsetry as art</t>
  </si>
  <si>
    <t>Vivienne Westwood 1996 corseted evening jacket</t>
  </si>
  <si>
    <t>Custom Vivienne Westwood look inspired by a Fall 1996 corseted evening jacket. The embroidered jacket uses pearls, glass beads, sequins, and stones, referencing historical corsetry and couture craftsmanship.</t>
  </si>
  <si>
    <t>Gwendoline Christie</t>
  </si>
  <si>
    <t>Giles Deacon</t>
  </si>
  <si>
    <t>Red</t>
  </si>
  <si>
    <t>Pink / green / purple</t>
  </si>
  <si>
    <t>Mermaid / dramatic tulle gown</t>
  </si>
  <si>
    <t>Theatrical gown / costume-inspired gown</t>
  </si>
  <si>
    <t>Tulle, feathers, sheer panels, structured bodice, dramatic headpiece</t>
  </si>
  <si>
    <t>Theatrical / Surrealist / Performance art</t>
  </si>
  <si>
    <t>John Singer Sargent, Madame Vionnet, Ira Cohen</t>
  </si>
  <si>
    <t>Dramatic red Giles Deacon gown with theatrical tulle, feather details, mask prop, and oversized headpiece. The look references performance and surrealist art, making the body appear like a living artwork.</t>
  </si>
  <si>
    <t>Public approval</t>
  </si>
  <si>
    <t>Low</t>
  </si>
  <si>
    <t>Beyoncé</t>
  </si>
  <si>
    <t>Olivier Rousteing</t>
  </si>
  <si>
    <t>Balmain</t>
  </si>
  <si>
    <t>Silver / nude</t>
  </si>
  <si>
    <t>Grey / white</t>
  </si>
  <si>
    <t>Sheer fitted gown with dramatic cape</t>
  </si>
  <si>
    <t>Naked dress / skeletal gown / couture gown</t>
  </si>
  <si>
    <t>Sheer fabric, crystals, beading, feathers, embellished headpiece</t>
  </si>
  <si>
    <t>Anatomical body / Body as art</t>
  </si>
  <si>
    <t>Skeleton / anatomical body</t>
  </si>
  <si>
    <t>Custom Olivier Rousteing sheer crystal gown with a skeleton-like structure, feathered cape, and embellished headpiece. The look directly connects to the body-focused “Fashion is Art” theme.</t>
  </si>
  <si>
    <t>Hailey Bieber</t>
  </si>
  <si>
    <t>Anthony Vaccarello</t>
  </si>
  <si>
    <t>Saint Laurent</t>
  </si>
  <si>
    <t>Cobalt blue</t>
  </si>
  <si>
    <t>Gold</t>
  </si>
  <si>
    <t>Column gown with sculpted bodice and cape</t>
  </si>
  <si>
    <t>Sculptural gown / goddess-inspired gown</t>
  </si>
  <si>
    <t>Silk chiffon, 24-karat gold bodice, metallic breastplate</t>
  </si>
  <si>
    <t>Sculptural / Classical body</t>
  </si>
  <si>
    <t>Yves Saint Laurent x Claude Lalanne Fall 1969 couture</t>
  </si>
  <si>
    <t>Custom Saint Laurent look by Anthony Vaccarello with a 24-karat gold sculpted bodice and cobalt blue chiffon gown. The look references Yves Saint Laurent’s 1969 collaboration with sculptor Claude Lalanne and turns the torso into a classical sculptural object.</t>
  </si>
  <si>
    <t>Ashley Graham</t>
  </si>
  <si>
    <t>Dimitra Petsa</t>
  </si>
  <si>
    <t>Di Petsa</t>
  </si>
  <si>
    <t>Nude / beige</t>
  </si>
  <si>
    <t>Silver</t>
  </si>
  <si>
    <t>Fitted sheer gown with tulle train</t>
  </si>
  <si>
    <t>Wet-look gown / second-skin gown</t>
  </si>
  <si>
    <t>Nude mesh, sheer tulle, draped fabric, wet-look texture</t>
  </si>
  <si>
    <t>Anatomical body / Second skin / Sculptural body</t>
  </si>
  <si>
    <t>Medium-high</t>
  </si>
  <si>
    <t>Di Petsa Fall 2026 serpent-skin dress</t>
  </si>
  <si>
    <t>Custom Di Petsa gown by Dimitra Petsa, hand-sewn directly onto Ashley Graham’s body. The nude mesh and draping create a second-skin effect inspired by serpent scales, while the silver chrome-dipped fingers reference sculptors and the hand of the artist.</t>
  </si>
  <si>
    <t>Jon Batiste</t>
  </si>
  <si>
    <t>Eli Russell Linnetz</t>
  </si>
  <si>
    <t>ERL</t>
  </si>
  <si>
    <t>White / ivory</t>
  </si>
  <si>
    <t>Cream</t>
  </si>
  <si>
    <t>Oversized padded coat with wide-leg trousers</t>
  </si>
  <si>
    <t>Oversized menswear / padded coat look</t>
  </si>
  <si>
    <t>Padded fabric, glossy/technical fabric, ruffled shirt, structured volume</t>
  </si>
  <si>
    <t>Classical body / Deconstructed tailoring</t>
  </si>
  <si>
    <t>Grecian goddess dresses</t>
  </si>
  <si>
    <t>All-white ERL look referencing Grecian goddess dresses, but interpreted through puffed volume instead of classical pleats. The outfit mixes classical inspiration with oversized contemporary menswear.</t>
  </si>
  <si>
    <t>Chase Infiniti</t>
  </si>
  <si>
    <t>Thom Browne</t>
  </si>
  <si>
    <t>Multicolor</t>
  </si>
  <si>
    <t>Fitted column gown</t>
  </si>
  <si>
    <t>Trompe-l’œil gown / artistic gown</t>
  </si>
  <si>
    <t>Stacked sequins, silk fringe, embroidered texture</t>
  </si>
  <si>
    <t>Classical body / Painting-inspired / Trompe-l’œil</t>
  </si>
  <si>
    <t>Venus de Milo by Alexandros of Antioch</t>
  </si>
  <si>
    <t>Custom Thom Browne trompe-l’œil dress inspired by the Venus de Milo. The gown uses over 1.5 million stacked sequins and silk fringe in more than 600 colors to mimic painterly brushstrokes and turn the body into a classical artwork.</t>
  </si>
  <si>
    <t>Cara Delevingne</t>
  </si>
  <si>
    <t>Ralph Lauren</t>
  </si>
  <si>
    <t>Nude / sheer</t>
  </si>
  <si>
    <t>Fitted column gown with train</t>
  </si>
  <si>
    <t>Evening gown / sheer panel gown</t>
  </si>
  <si>
    <t>Velvet-like black fabric, sheer tulle, lace train, high neck</t>
  </si>
  <si>
    <t>Historical fashion reference / Minimalist elegance</t>
  </si>
  <si>
    <t>Low-medium</t>
  </si>
  <si>
    <t>Ralph Lauren November 2011 Vogue cover dress worn by Rooney Mara</t>
  </si>
  <si>
    <t>Black Ralph Lauren gown referencing the dress Rooney Mara wore on the November 2011 Vogue cover. The look is elegant and archival, but the connection to the “Fashion is Art” theme is subtle compared with more sculptural or conceptual looks.</t>
  </si>
  <si>
    <t>Nicole Kidman</t>
  </si>
  <si>
    <t>Ruby red</t>
  </si>
  <si>
    <t>Fitted drop-waist gown with train</t>
  </si>
  <si>
    <t>Sequin gown / feather-trimmed gown</t>
  </si>
  <si>
    <t>Sequins, feathers, organza flowers, hand-beading</t>
  </si>
  <si>
    <t>Glamour / Craftsmanship as art</t>
  </si>
  <si>
    <t>Chanel couture craftsmanship / Moulin Rouge-style showgirl glamour</t>
  </si>
  <si>
    <t>Custom ruby-red Chanel gown by Matthieu Blazy, fully embroidered with sequins and feathered trim. The look emphasizes couture craftsmanship and theatrical glamour, but the connection to the “Fashion is Art” theme is more subtle than sculptural or concept-driven looks.</t>
  </si>
  <si>
    <t>Sinéad Burke</t>
  </si>
  <si>
    <t>Christian Siriano</t>
  </si>
  <si>
    <t>Corseted gown with cape-like draping</t>
  </si>
  <si>
    <t>Corset gown / dramatic black gown</t>
  </si>
  <si>
    <t>Corset structure, feather-like embellishments, black chiffon draping, sheer cape panels</t>
  </si>
  <si>
    <t>Body as art / Inclusive body representation</t>
  </si>
  <si>
    <t>Her own figure molded into a mannequin for “Costume Art”</t>
  </si>
  <si>
    <t>Jet-black Christian Siriano gown with a corseted structure, feather-like shoulder embellishments, and chiffon cape draping. The look strongly connects to the exhibition because Burke’s own figure was molded into a mannequin for “Costume Art.”</t>
  </si>
  <si>
    <t>Sarah Pidgeon</t>
  </si>
  <si>
    <t>Jack McCollough and Lazaro Hernandez</t>
  </si>
  <si>
    <t>Loewe</t>
  </si>
  <si>
    <t>Chartreuse / yellow-green</t>
  </si>
  <si>
    <t>Column skirt with bandeau top</t>
  </si>
  <si>
    <t>Minimalist two-piece gown / sculptural bandeau look</t>
  </si>
  <si>
    <t>Matte satin, draped fabric, twisted bandeau</t>
  </si>
  <si>
    <t>Minimalist art / Sculptural simplicity</t>
  </si>
  <si>
    <t>Loewe Fall 2026 look 43; 1990s minimalism</t>
  </si>
  <si>
    <t>Custom Loewe chartreuse matte satin look by Jack McCollough and Lazaro Hernandez, featuring a twisted bandeau top and column skirt. The look has a minimalist sculptural quality, but its connection to the “Fashion is Art” theme is subtle, which may explain the very low public approval.</t>
  </si>
  <si>
    <t>Very low</t>
  </si>
  <si>
    <t>Rauw Alejandro</t>
  </si>
  <si>
    <t>Tailored trousers with glossy wrap shirt</t>
  </si>
  <si>
    <t>Tailored menswear / wet-look shirt</t>
  </si>
  <si>
    <t>Glossy silicone, tuxedo fabric, patent leather effect</t>
  </si>
  <si>
    <t>Wet-look / Minimalist tailoring</t>
  </si>
  <si>
    <t>Saint Laurent wet-look tailoring / body-conscious menswear</t>
  </si>
  <si>
    <t>Black Saint Laurent look with glossy silicone lavallière/wrap shirt and tuxedo trousers. The wet-look texture gives the outfit a sensual, body-focused quality, but the concept is subtle for the “Fashion is Art” theme.</t>
  </si>
  <si>
    <t>Venus Williams</t>
  </si>
  <si>
    <t>Giovanna Engelbert</t>
  </si>
  <si>
    <t>Swarovski</t>
  </si>
  <si>
    <t>Silver / crystal</t>
  </si>
  <si>
    <t>Mermaid gown with structured neckplate</t>
  </si>
  <si>
    <t>Crystal gown / jewelry-focused gown</t>
  </si>
  <si>
    <t>Crystal mesh, beading, pearl/crystal neckplate, draped chains</t>
  </si>
  <si>
    <t>Portrait-inspired / Body as art / Personal symbolism</t>
  </si>
  <si>
    <r>
      <t xml:space="preserve">Robert Pruitt, </t>
    </r>
    <r>
      <rPr>
        <i/>
        <sz val="11"/>
        <color theme="1"/>
        <rFont val="Aptos Narrow"/>
        <family val="2"/>
        <scheme val="minor"/>
      </rPr>
      <t>Venus Williams, Double Portrait</t>
    </r>
    <r>
      <rPr>
        <sz val="11"/>
        <color theme="1"/>
        <rFont val="Aptos Narrow"/>
        <family val="2"/>
        <scheme val="minor"/>
      </rPr>
      <t xml:space="preserve"> 2022</t>
    </r>
  </si>
  <si>
    <t>Custom Swarovski crystal mesh gown by Giovanna Engelbert, inspired by Robert Pruitt’s 2022 portrait of Venus Williams. The symbolic neckplate references her life, family, tennis career, California roots, and legacy.</t>
  </si>
  <si>
    <t>Kim Kardashian</t>
  </si>
  <si>
    <t>Allen Jones / Whitaker Malem</t>
  </si>
  <si>
    <t>Orange / tangerine</t>
  </si>
  <si>
    <t>Brown / nude</t>
  </si>
  <si>
    <t>Sculpted bodysuit with open-front skirt</t>
  </si>
  <si>
    <t>Sculptural breastplate / body armour look</t>
  </si>
  <si>
    <t>Fiberglass breastplate, leather skirt, painted surface, glossy molded finish</t>
  </si>
  <si>
    <t>Sculptural / Anatomical body / Body armour</t>
  </si>
  <si>
    <r>
      <t xml:space="preserve">Allen Jones, </t>
    </r>
    <r>
      <rPr>
        <i/>
        <sz val="11"/>
        <color theme="1"/>
        <rFont val="Aptos Narrow"/>
        <family val="2"/>
        <scheme val="minor"/>
      </rPr>
      <t>Body Armour</t>
    </r>
    <r>
      <rPr>
        <sz val="11"/>
        <color theme="1"/>
        <rFont val="Aptos Narrow"/>
        <family val="2"/>
        <scheme val="minor"/>
      </rPr>
      <t>; 1967–68 body cast reference</t>
    </r>
  </si>
  <si>
    <t>Custom sculptural look created with Allen Jones and Whitaker Malem. The molded orange fiberglass breastplate references Allen Jones’s body-armour works and turns the torso into a wearable sculpture, paired with a painted leather skirt.</t>
  </si>
  <si>
    <t>Angela Bassett</t>
  </si>
  <si>
    <t>Prabal Gurung</t>
  </si>
  <si>
    <t>Light pink / silver</t>
  </si>
  <si>
    <t>Fitted gown with fringe skirt and slit</t>
  </si>
  <si>
    <t>Pink couture gown / fringe gown</t>
  </si>
  <si>
    <t>Draped bodice, beaded fringe, floral appliqué, embellishment</t>
  </si>
  <si>
    <t>Painting-inspired / Black art history</t>
  </si>
  <si>
    <r>
      <t xml:space="preserve">Laura Wheeler Waring, </t>
    </r>
    <r>
      <rPr>
        <i/>
        <sz val="11"/>
        <color theme="1"/>
        <rFont val="Aptos Narrow"/>
        <family val="2"/>
        <scheme val="minor"/>
      </rPr>
      <t>Girl in Pink Dress</t>
    </r>
    <r>
      <rPr>
        <sz val="11"/>
        <color theme="1"/>
        <rFont val="Aptos Narrow"/>
        <family val="2"/>
        <scheme val="minor"/>
      </rPr>
      <t xml:space="preserve"> / </t>
    </r>
    <r>
      <rPr>
        <i/>
        <sz val="11"/>
        <color theme="1"/>
        <rFont val="Aptos Narrow"/>
        <family val="2"/>
        <scheme val="minor"/>
      </rPr>
      <t>The Girl in the Pink Dress</t>
    </r>
    <r>
      <rPr>
        <sz val="11"/>
        <color theme="1"/>
        <rFont val="Aptos Narrow"/>
        <family val="2"/>
        <scheme val="minor"/>
      </rPr>
      <t xml:space="preserve"> 1927</t>
    </r>
  </si>
  <si>
    <r>
      <t xml:space="preserve">Custom pink Prabal Gurung gown inspired by Laura Wheeler Waring’s 1927 painting </t>
    </r>
    <r>
      <rPr>
        <i/>
        <sz val="11"/>
        <color theme="1"/>
        <rFont val="Aptos Narrow"/>
        <family val="2"/>
        <scheme val="minor"/>
      </rPr>
      <t>Girl in Pink Dress</t>
    </r>
    <r>
      <rPr>
        <sz val="11"/>
        <color theme="1"/>
        <rFont val="Aptos Narrow"/>
        <family val="2"/>
        <scheme val="minor"/>
      </rPr>
      <t>. The look translates the artwork’s pink palette into a mature red-carpet silhouette with draping, floral details, and beaded fringe.</t>
    </r>
  </si>
  <si>
    <t>Lauren Wasser</t>
  </si>
  <si>
    <t>Tailored oversized suit with shorts</t>
  </si>
  <si>
    <t>Metallic suit / tailored menswear-inspired look</t>
  </si>
  <si>
    <t>Gold lamé, pleats, metallic fabric, structured tailoring</t>
  </si>
  <si>
    <t>Classical body / Goddess-inspired tailoring</t>
  </si>
  <si>
    <t>Grecian goddess gowns in the exhibition</t>
  </si>
  <si>
    <t>Gold lamé two-piece Prabal Gurung suit with pleats reminiscent of Grecian goddess gowns from the exhibition. The look combines classical draping references with modern tailored suiting and highlights Wasser’s signature gold prosthetic legs.</t>
  </si>
  <si>
    <t>Aariana Rose Philip</t>
  </si>
  <si>
    <t>Hillary Tay</t>
  </si>
  <si>
    <t>Collina Strada</t>
  </si>
  <si>
    <t>Draped gown adapted for wheelchair</t>
  </si>
  <si>
    <t>Draped evening gown / adaptive couture look</t>
  </si>
  <si>
    <t>Silky draped fabric, ruched texture, soft folds</t>
  </si>
  <si>
    <t>Body as art / Inclusive body representation / 1930s glamour</t>
  </si>
  <si>
    <t>1930s screen siren gown; her own figure molded into a mannequin for “Costume Art”</t>
  </si>
  <si>
    <t>Black Collina Strada gown by Hillary Taymour, recalling the slinky elegance of a 1930s screen siren. The look strongly connects to the exhibition because Philip’s own figure was molded into a mannequin for “Costume Art,” bringing inclusive body representation directly into the theme.</t>
  </si>
  <si>
    <t>SZA</t>
  </si>
  <si>
    <t>Emily Adams Bode Aujla</t>
  </si>
  <si>
    <t>Bode</t>
  </si>
  <si>
    <t>Yellow / golden yellow</t>
  </si>
  <si>
    <t>Orange / pink / floral multicolor</t>
  </si>
  <si>
    <t>Tiered ball gown with corset and train</t>
  </si>
  <si>
    <t>Vintage-fabric gown / fairy-tale couture gown</t>
  </si>
  <si>
    <t>Vintage tulle, taffeta, silk faille, beaded lace, floral appliqués, hand-painted silk wings</t>
  </si>
  <si>
    <t>Craftsmanship as art / Nature-inspired / Historical reference</t>
  </si>
  <si>
    <t>Wiener Werkstätte; 18th-century robe française; butterfly-wing motifs</t>
  </si>
  <si>
    <t>Custom Bode gown by Emily Adams Bode Aujla, made from over 100 yards of vintage yellow fabrics sourced from eBay. The look combines corsetry, a tiered skirt, floral appliqués, butterfly-wing details, and historical robe française inspiration, creating a nature-focused and craft-heavy interpretation of “Fashion is Art.”</t>
  </si>
  <si>
    <t>Zoë Kravitz</t>
  </si>
  <si>
    <t>Fitted gown with basque waist and structured skirt</t>
  </si>
  <si>
    <t>Sheer lace gown / dark bridal look</t>
  </si>
  <si>
    <t>Guipure lace, sheer fabric, sculptural peplum/skirt structure</t>
  </si>
  <si>
    <t>Dark bridal / Historical fashion reference / Lace craftsmanship</t>
  </si>
  <si>
    <t>Basque waist bridal silhouette; Jessica McCormack jewelry with surrealist eye motifs</t>
  </si>
  <si>
    <t>Black Saint Laurent guipure-lace gown by Anthony Vaccarello, worn unlined with a basque waist and dramatic lace structure. The look has strong dark bridal and lace-craftsmanship references, but the connection to “Fashion is Art” is more subtle than sculptural or painting-inspired looks.</t>
  </si>
  <si>
    <t>Liline Jacquemus</t>
  </si>
  <si>
    <t>Simon Porte Jacquemus</t>
  </si>
  <si>
    <t>Jacquemus</t>
  </si>
  <si>
    <t>Minimalist relaxed tailoring</t>
  </si>
  <si>
    <t>Coordinated white tailoring / family duo look</t>
  </si>
  <si>
    <t>Soft suiting fabric, sheer/flowing layers, clean matte texture</t>
  </si>
  <si>
    <t>Minimalist art / Personal storytelling</t>
  </si>
  <si>
    <t>Family memory / Jacquemus brand identity</t>
  </si>
  <si>
    <t>Coordinated custom white Jacquemus looks worn by Simon Porte Jacquemus and his grandmother Liline. The styling reflects the designer’s family-centered brand identity and creates an intimate, emotional interpretation of fashion as personal art, though the visual impact is subtle for the Met Gala.</t>
  </si>
  <si>
    <t>Sabine Getty</t>
  </si>
  <si>
    <t>Mohammed Ashi</t>
  </si>
  <si>
    <t>Ashi Studio</t>
  </si>
  <si>
    <t>Nude / ivory</t>
  </si>
  <si>
    <t>Gold / beige</t>
  </si>
  <si>
    <t>Fitted sheer gown with asymmetrical draping</t>
  </si>
  <si>
    <t>Illusion gown / art-inspired gown</t>
  </si>
  <si>
    <t>Sheer tulle, distressed texture, feather-like fibers, bejeweled detail</t>
  </si>
  <si>
    <t>Body as art / Illusion / Conceptual fashion</t>
  </si>
  <si>
    <t>Bejeweled finger motif; life imitating art</t>
  </si>
  <si>
    <t>Borderline</t>
  </si>
  <si>
    <t>Ashi Studio illusion gown with a bejeweled finger motif on the dress, echoed by Getty’s real hand placement. The look plays with the boundary between body, clothing, and artwork, making it a strong conceptual fit for “Fashion is Art.”</t>
  </si>
  <si>
    <t>Colman Domingo</t>
  </si>
  <si>
    <t>Alessandro Michele</t>
  </si>
  <si>
    <t>Valentino</t>
  </si>
  <si>
    <t>Tailored tunic with straight-leg trousers</t>
  </si>
  <si>
    <t>Color-blocked tailored look / harlequin-inspired menswear</t>
  </si>
  <si>
    <t>Knit or embroidered diamond-pattern fabric, structured tailoring, wide black belt</t>
  </si>
  <si>
    <t>Costume art / Harlequin / Pattern as art</t>
  </si>
  <si>
    <t>Harlequin / commedia dell’arte-inspired diamond pattern</t>
  </si>
  <si>
    <t>Valentino multicolor diamond-pattern look with a black waist sash and tailored trousers. The harlequin-like pattern gives the outfit a theatrical, costume-art quality, while the tailoring keeps it polished and formal.</t>
  </si>
  <si>
    <t>Isha Ambani</t>
  </si>
  <si>
    <t>Gaurav Gupta</t>
  </si>
  <si>
    <t>Gold / ivory</t>
  </si>
  <si>
    <t>Emerald / yellow</t>
  </si>
  <si>
    <t>Draped sari with sculptural cape</t>
  </si>
  <si>
    <t>Sculptural sari / heritage couture look</t>
  </si>
  <si>
    <t>Gold threads, embroidered fabric, sculptural draping, jewelry embellishment</t>
  </si>
  <si>
    <t>Heritage craftsmanship / Sculptural / Body as art</t>
  </si>
  <si>
    <t>Indian sari tradition; fresco-like hand-painted details; mango sculpture accessory</t>
  </si>
  <si>
    <t>Custom Gaurav Gupta gold sari look with sculptural draping, jewelry-heavy styling, and heritage craftsmanship. The look combines Indian sari tradition with couture construction and art-object accessories, making it a strong interpretation of “Fashion is Art.”</t>
  </si>
  <si>
    <t>Connor Storrie</t>
  </si>
  <si>
    <t>White / silver</t>
  </si>
  <si>
    <t>Wide-leg tailored trousers with halter top</t>
  </si>
  <si>
    <t>Gender-fluid tailoring / halter menswear look</t>
  </si>
  <si>
    <t>Polka-dot fabric, tailored wool trousers, long flowing train, brooch details</t>
  </si>
  <si>
    <t>Gender-fluid fashion / Drapery as art / Tailoring</t>
  </si>
  <si>
    <t>Greek or Roman sculpture-inspired drapery</t>
  </si>
  <si>
    <t>Saint Laurent look by Anthony Vaccarello with a sleeveless polka-dot halter top, tailored wide-leg trousers, and a long flowing back train. The drapery gives a subtle Greek/Roman sculpture reference, while the halter silhouette creates a gender-fluid take on classic Saint Laurent tailoring.</t>
  </si>
  <si>
    <t>Angel Reese</t>
  </si>
  <si>
    <t>Joseph Altuzarra</t>
  </si>
  <si>
    <t>Altuzarra</t>
  </si>
  <si>
    <t>Petal pink / blush pink</t>
  </si>
  <si>
    <t>Nude / pink</t>
  </si>
  <si>
    <t>Off-the-shoulder draped gown with high slit</t>
  </si>
  <si>
    <t>Draped gown / romantic couture gown</t>
  </si>
  <si>
    <t>Draped fabric, voluminous sleeves, structured bodice, soft satin-like texture</t>
  </si>
  <si>
    <t>Romantic painting-inspired / Drapery as art</t>
  </si>
  <si>
    <t>18th-century painting / Thomas Gainsborough-inspired reference</t>
  </si>
  <si>
    <t>Custom Altuzarra pink off-the-shoulder gown by Joseph Altuzarra, with dramatic draped sleeves, a high slit, and romantic painterly styling. The look references 18th-century portraiture and classic drapery, but the public vote was low.</t>
  </si>
  <si>
    <t>Laufey</t>
  </si>
  <si>
    <t>Tory Burch</t>
  </si>
  <si>
    <t>Ivory / pearl white</t>
  </si>
  <si>
    <t>White</t>
  </si>
  <si>
    <t>Column gown with capelet</t>
  </si>
  <si>
    <t>Minimalist sequin gown / musical-instrument-inspired gown</t>
  </si>
  <si>
    <t>Sequins, beading, structured capelet, soft shimmer</t>
  </si>
  <si>
    <t>Music as art / Sculptural simplicity</t>
  </si>
  <si>
    <t>Cello silhouette / musical instrument form</t>
  </si>
  <si>
    <t>Pearl-colored Tory Burch column gown with matching capelet, designed to echo the shape of a cello. The look connects fashion, music, and the body, though the visual impact is subtle for the Met Gala.</t>
  </si>
  <si>
    <t>Lindsey Vonn</t>
  </si>
  <si>
    <t>Grey / silver</t>
  </si>
  <si>
    <t>Fitted mermaid gown with tulle hem</t>
  </si>
  <si>
    <t>Trompe-l’œil marble gown / classical sculpture gown</t>
  </si>
  <si>
    <t>Glass beads, tulle, beaded marbling, sheer gloves</t>
  </si>
  <si>
    <t>Classical body / Trompe-l’œil / Sculpture-inspired</t>
  </si>
  <si>
    <t>Grecian and Roman marble statues / classical sculpture</t>
  </si>
  <si>
    <t>Custom Thom Browne gown inspired by classical Grecian and Roman marble statues. The beading creates a trompe-l’œil marbling effect, making the body appear partly like a classical sculpture.</t>
  </si>
  <si>
    <t>Gigi Hadid</t>
  </si>
  <si>
    <t>Miuccia Prada</t>
  </si>
  <si>
    <t>Miu Miu</t>
  </si>
  <si>
    <t>Black / sheer black</t>
  </si>
  <si>
    <t>Sheer fitted gown with train</t>
  </si>
  <si>
    <t>Naked dress / archival-inspired gown</t>
  </si>
  <si>
    <t>Sheer tulle, hotfix crystals, patchwork flames, floral embroidery</t>
  </si>
  <si>
    <t>Archival reference / Body as art / Illusion</t>
  </si>
  <si>
    <t>Miu Miu Spring 1998 sheer base and Spring 2011 flame/floral embroidery</t>
  </si>
  <si>
    <t>Custom Miu Miu sheer gown combining references from Spring 1998 and Spring 2011. The dress uses a transparent base with crystals, flame patches, and floral embroidery, creating a body-focused archival reinterpretation.</t>
  </si>
  <si>
    <t>Ejae</t>
  </si>
  <si>
    <t>Crystal / grey</t>
  </si>
  <si>
    <t>Crystal gown / jewelry-body gown</t>
  </si>
  <si>
    <t>Crystals, beading, metallic mesh, jeweled collar, hair ornaments</t>
  </si>
  <si>
    <t>Heritage portrait / Body as jewel / Personal symbolism</t>
  </si>
  <si>
    <t>Venus de Milo; Korean heritage; gisaeng / female courtesan of the Joseon dynasty</t>
  </si>
  <si>
    <t>Medium / borderline</t>
  </si>
  <si>
    <t>Swarovski crystal look inspired by Venus de Milo and Korean heritage, with references to gisaeng, the female courtesans of the Joseon dynasty. The jeweled body and ornate collar connect the look strongly to the “Fashion is Art” theme.</t>
  </si>
  <si>
    <t>Janelle Monáe</t>
  </si>
  <si>
    <t>Green / black</t>
  </si>
  <si>
    <t>Silver / grey</t>
  </si>
  <si>
    <t>Sculptural mermaid gown</t>
  </si>
  <si>
    <t>Eco-futurist gown / living sculpture look</t>
  </si>
  <si>
    <t>Moss, succulents, electric cables, circuit-board fragments, crystals, recycled elements</t>
  </si>
  <si>
    <t>Nature vs technology / Eco-futurism / Living sculpture</t>
  </si>
  <si>
    <t>Very high</t>
  </si>
  <si>
    <t>Biocollage of electric cables, moss, succulents, and circuit-board fragments</t>
  </si>
  <si>
    <t>Custom Christian Siriano look made from moss, succulents, electric cables, circuit-board fragments, crystals, and recycled elements. The concept explores nature overtaking technology and turns the body into a living eco-futurist sculpture.</t>
  </si>
  <si>
    <t>Lisa</t>
  </si>
  <si>
    <t>Robert Wun</t>
  </si>
  <si>
    <t>White / icy white</t>
  </si>
  <si>
    <t>Fitted sheer gown with sculptural veil</t>
  </si>
  <si>
    <t>Sculptural gown / illusion veil look</t>
  </si>
  <si>
    <t>Sheer tulle, crystals, veil, sculpted 3D arms, sparkling mesh</t>
  </si>
  <si>
    <t>Body as art / Thai dance / Sculptural illusion</t>
  </si>
  <si>
    <t>Traditional Thai dance positions; 3D-scanned arms</t>
  </si>
  <si>
    <t>Custom Robert Wun gown with a sculptural veil held by 3D-scanned arms based on Lisa’s own body. The arm arrangement references traditional Thai dance positions, making the body, movement, and garment part of one artwork.</t>
  </si>
  <si>
    <t>Maya Hawke</t>
  </si>
  <si>
    <t>Prada</t>
  </si>
  <si>
    <t>Black / grey</t>
  </si>
  <si>
    <t>Full-skirt dress / tea-length ball gown</t>
  </si>
  <si>
    <t>Retro Americana dress / rockabilly-inspired gown</t>
  </si>
  <si>
    <t>Sheer organza/tulle, floral appliqués, structured full skirt</t>
  </si>
  <si>
    <t>Americana / Retro fashion reference</t>
  </si>
  <si>
    <t>Rockabilly / mid-century Americana</t>
  </si>
  <si>
    <t>Prada look with a full skirt, headband, and retro Americana/rockabilly styling. It has a clear fashion reference, but the connection to “Fashion is Art” is subtle and not very Met Gala-impactful.</t>
  </si>
  <si>
    <t>Skepta</t>
  </si>
  <si>
    <t>Straight-leg suit / workwear-inspired suit</t>
  </si>
  <si>
    <t>Tattoo-embroidered suit / graphic tailoring</t>
  </si>
  <si>
    <t>Embroidery, structured cotton/wool suit fabric, graphic black stitching</t>
  </si>
  <si>
    <t>Body art / Personal symbolism / Tailoring as canvas</t>
  </si>
  <si>
    <t>Skepta’s own tattoos</t>
  </si>
  <si>
    <t>Custom Thom Browne white suit embroidered with versions of Skepta’s own tattoos. The look turns body art into garment art, making tailoring function like a canvas for personal history.</t>
  </si>
  <si>
    <t>Yseult</t>
  </si>
  <si>
    <t>Harris Reed</t>
  </si>
  <si>
    <t>Sculptural gown with exaggerated hat/collar</t>
  </si>
  <si>
    <t>Sculptural couture gown / body-bodice look</t>
  </si>
  <si>
    <t>Glass beads, structured tailoring, sculpted bodice, dramatic hat</t>
  </si>
  <si>
    <t>Anatomical body / Sculptural / Body as art</t>
  </si>
  <si>
    <t>Sculpted gold body / beaded belly-button motif</t>
  </si>
  <si>
    <t>Harris Reed demi-couture look with over 400 hours of glass beadwork transformed into a sculpted gold bodice. The black tailoring frames the body like a wearable sculpture, making it one of the strongest theme fits.</t>
  </si>
  <si>
    <t>Naomi Watts</t>
  </si>
  <si>
    <t>Jonathan Anderson</t>
  </si>
  <si>
    <t>Dior</t>
  </si>
  <si>
    <t>Multicolor floral</t>
  </si>
  <si>
    <t>Strapless ball gown with full skirt</t>
  </si>
  <si>
    <t>Floral gown / painterly garden gown</t>
  </si>
  <si>
    <t>Black satin-like fabric, floral appliqués, embroidery, full structured skirt</t>
  </si>
  <si>
    <t>Floral/Nature / Painting-inspired</t>
  </si>
  <si>
    <t>Floral painting / garden bouquet motif</t>
  </si>
  <si>
    <t>Custom Dior look by Jonathan Anderson with a black strapless gown covered in colorful floral appliqués. The flowers create a painterly garden effect, making the dress pretty and thematic, though not highly approved by the public vote.</t>
  </si>
  <si>
    <t>Stevie Nicks</t>
  </si>
  <si>
    <t>John Galliano</t>
  </si>
  <si>
    <t xml:space="preserve">Zara </t>
  </si>
  <si>
    <t>Navy blue / dark blue</t>
  </si>
  <si>
    <t>Full ball skirt with fitted velvet jacket</t>
  </si>
  <si>
    <t>Witchy romantic gown / steampunk-inspired look</t>
  </si>
  <si>
    <t>Velvet, taffeta-like full skirt, feathered top hat, dark trim</t>
  </si>
  <si>
    <t>Historical / Theatrical / Witchy romantic</t>
  </si>
  <si>
    <t>Zara x John Galliano dark blue velvet look with a large full skirt and feathered top hat. The outfit has witchy, steampunk, and theatrical references, but the execution feels heavy and less refined for the Met Gala.</t>
  </si>
  <si>
    <t>Julianne Moore</t>
  </si>
  <si>
    <t>Louise Trotter</t>
  </si>
  <si>
    <t>Bottega Veneta</t>
  </si>
  <si>
    <t>One-shoulder column gown</t>
  </si>
  <si>
    <t>Minimalist evening gown / classic black gown</t>
  </si>
  <si>
    <t>Crepe, silk organza stole, feather-like texture</t>
  </si>
  <si>
    <t>Minimalist elegance / Classic glamour</t>
  </si>
  <si>
    <t>Classic black eveningwear</t>
  </si>
  <si>
    <t>Simple black Bottega Veneta crepe gown with a silk organza stole. Elegant and classic, but the connection to “Fashion is Art” is subtle and not very concept-driven.</t>
  </si>
  <si>
    <t>KUN</t>
  </si>
  <si>
    <t>Black / red</t>
  </si>
  <si>
    <t>Asymmetrical tailored suit with long coat panel</t>
  </si>
  <si>
    <t>Anatomical suit / conceptual tailoring</t>
  </si>
  <si>
    <t>Sequins, beads, embroidery, structured tailoring</t>
  </si>
  <si>
    <t>Anatomical body / Vital body / Circulatory system</t>
  </si>
  <si>
    <t>“Vital Body” from the 2026 Met “Costume Art” exhibition</t>
  </si>
  <si>
    <t>Custom Thom Browne look inspired by the “Vital Body” section of the Costume Art exhibition. One half features over 400,000 sequins and beads representing the circulatory system, making it one of the clearest anatomical interpretations of the theme.</t>
  </si>
  <si>
    <t>Jisoo</t>
  </si>
  <si>
    <t>Pink / pale pink</t>
  </si>
  <si>
    <t>Silver / floral multicolor</t>
  </si>
  <si>
    <t>Strapless column gown</t>
  </si>
  <si>
    <t>Floral embroidered gown / garden gown</t>
  </si>
  <si>
    <t>Gazar, embroidery, floral appliqué, beading, bouquet details</t>
  </si>
  <si>
    <t>Painting-inspired / Floral nature / Impressionism</t>
  </si>
  <si>
    <t>Dior Impressionism / Monet-inspired garden imagery</t>
  </si>
  <si>
    <t>Custom Dior floral column gown with garden-scene embroidery and bouquet details. The look connects to Dior’s art-historical relationship with Impressionism and creates a soft painterly interpretation of “Fashion is Art.”</t>
  </si>
  <si>
    <t>Kylie Jenner</t>
  </si>
  <si>
    <t>Daniel Roseberry</t>
  </si>
  <si>
    <t>Schiaparelli</t>
  </si>
  <si>
    <t>Nude / cream</t>
  </si>
  <si>
    <t>White / pearl</t>
  </si>
  <si>
    <t>Sculpted corset with voluminous skirt</t>
  </si>
  <si>
    <t>Anatomical corset gown / surrealist couture gown</t>
  </si>
  <si>
    <t>Corset, duchess satin, baroque pearls, pearlescent fish scales, embroidery</t>
  </si>
  <si>
    <t>Anatomical body / Surrealism / Body as art</t>
  </si>
  <si>
    <t>Schiaparelli surrealist body illusion; anatomical corsetry</t>
  </si>
  <si>
    <t>Custom Schiaparelli look with a nude anatomical corset and heavily embroidered satin skirt. The faux-body construction and surrealist details connect strongly to the “Fashion is Art” theme, though public approval was low.</t>
  </si>
  <si>
    <t>Paloma Elsesser</t>
  </si>
  <si>
    <t>Francesco Risso</t>
  </si>
  <si>
    <t>Bureau of Imagination</t>
  </si>
  <si>
    <t>Pastel multicolor</t>
  </si>
  <si>
    <t>Blue / peach / cream</t>
  </si>
  <si>
    <t>Fitted romantic gown with train</t>
  </si>
  <si>
    <t>Historical upcycled gown / archival collage gown</t>
  </si>
  <si>
    <t>Vintage fabrics, lace, embroidery, appliqué, layered textiles</t>
  </si>
  <si>
    <t>Historical fashion / Textile collage / Craftsmanship as art</t>
  </si>
  <si>
    <t>Garments from the 1920s–1940s</t>
  </si>
  <si>
    <t>Bureau of Imagination gown by Francesco Risso made from a constellation of vintage garments dating from the 1920s through the 1940s. The look treats fashion history as material for a new artwork.</t>
  </si>
  <si>
    <t>Alex Consani</t>
  </si>
  <si>
    <t>Demna</t>
  </si>
  <si>
    <t>Gucci</t>
  </si>
  <si>
    <t>Black / nude</t>
  </si>
  <si>
    <t>Corseted bustier with feathered skirt and train</t>
  </si>
  <si>
    <t>Reveal gown / feathered couture look</t>
  </si>
  <si>
    <t>Nude tulle, black feathers, structured corset, white faille cape</t>
  </si>
  <si>
    <t>Body as art / Theatrical reveal</t>
  </si>
  <si>
    <t>Couture reveal performance</t>
  </si>
  <si>
    <t>Gucci look with a white faille cape reveal, nude tulle corseted bustier, and black feathered skirt. The reveal adds performance and theatricality, but the concept is less specific than the strongest theme-driven looks.</t>
  </si>
  <si>
    <t>Sombr</t>
  </si>
  <si>
    <t>Cape look with wide-leg trousers</t>
  </si>
  <si>
    <t>Crystal cape / gothic romantic tailoring</t>
  </si>
  <si>
    <t>Lace, crystal fringe, sheer cape, embroidery</t>
  </si>
  <si>
    <t>Gothic romantic / Costume art / Decorative body</t>
  </si>
  <si>
    <t>Crowned romantic figure / theatrical cape tradition</t>
  </si>
  <si>
    <t>Valentino look with lace, crystal fringe, a cape, and crown-like styling. It has a theatrical and romantic costume quality, but public approval stayed low.</t>
  </si>
  <si>
    <t>Anne Hathaway</t>
  </si>
  <si>
    <t>Michael Kors</t>
  </si>
  <si>
    <t>Michael Kors Collection</t>
  </si>
  <si>
    <t>Strapless ball gown</t>
  </si>
  <si>
    <t>Graphic gown / illustrated art gown</t>
  </si>
  <si>
    <t>Structured fabric, printed/illustrated motifs, full skirt</t>
  </si>
  <si>
    <t>Poetry-inspired / Illustration as fashion / Art collaboration</t>
  </si>
  <si>
    <t>John Keats poem “Ode on a Grecian Urn”; illustrations by McGough</t>
  </si>
  <si>
    <t>Michael Kors Collection gown made in collaboration with artist Peter McGough, featuring illustrations inspired by John Keats’s poem “Ode on a Grecian Urn.” The black-and-white graphic composition makes the gown feel like wearable illustration.</t>
  </si>
  <si>
    <t>Sabrina Carpenter</t>
  </si>
  <si>
    <t>Black / silver</t>
  </si>
  <si>
    <t>Sheer black / metallic grey</t>
  </si>
  <si>
    <t>Asymmetrical sheer gown with slit</t>
  </si>
  <si>
    <t>Film-inspired gown / cinematic sheer dress</t>
  </si>
  <si>
    <t>Tulle, film strips, sheer fabric, metallic texture, crystal headpiece</t>
  </si>
  <si>
    <t>Film as art / Archival cinema reference</t>
  </si>
  <si>
    <r>
      <t xml:space="preserve">Film strips from </t>
    </r>
    <r>
      <rPr>
        <i/>
        <sz val="11"/>
        <color theme="1"/>
        <rFont val="Aptos Narrow"/>
        <family val="2"/>
        <scheme val="minor"/>
      </rPr>
      <t>Sabrina</t>
    </r>
  </si>
  <si>
    <r>
      <t xml:space="preserve">Dior tulle gown made of film strips from </t>
    </r>
    <r>
      <rPr>
        <i/>
        <sz val="11"/>
        <color theme="1"/>
        <rFont val="Aptos Narrow"/>
        <family val="2"/>
        <scheme val="minor"/>
      </rPr>
      <t>Sabrina</t>
    </r>
    <r>
      <rPr>
        <sz val="11"/>
        <color theme="1"/>
        <rFont val="Aptos Narrow"/>
        <family val="2"/>
        <scheme val="minor"/>
      </rPr>
      <t>. The look directly connects fashion with cinema and turns film material into wearable art, making it one of the clearest interpretations of the theme.</t>
    </r>
  </si>
  <si>
    <t>Vittoria Ceretti</t>
  </si>
  <si>
    <t>Wes Gordon</t>
  </si>
  <si>
    <t>Carolina Herrera</t>
  </si>
  <si>
    <t>Sheer black</t>
  </si>
  <si>
    <t>Draped cutout gown with sheer skirt</t>
  </si>
  <si>
    <t>Minimal sheer gown / body-framing dress</t>
  </si>
  <si>
    <t>Sheer fabric, draped jersey/tulle, soft train</t>
  </si>
  <si>
    <t>Body as canvas / Minimalist drapery</t>
  </si>
  <si>
    <t>Human form / draped sculpture</t>
  </si>
  <si>
    <t>Black Carolina Herrera gown that frames the body with asymmetric draping and sheer fabric. It connects to the body-focused theme, but the overall concept is quite minimal compared with stronger Met Gala looks.</t>
  </si>
  <si>
    <t>Misty Copeland</t>
  </si>
  <si>
    <t>Brown</t>
  </si>
  <si>
    <t>Nude / chocolate</t>
  </si>
  <si>
    <t>Full tulle skirt with cropped bodice</t>
  </si>
  <si>
    <t>Ballet-inspired gown / ballerina look</t>
  </si>
  <si>
    <t>Tulle, leather-like bodice, soft pleated layers</t>
  </si>
  <si>
    <t>Dance as art / Personal artistic identity</t>
  </si>
  <si>
    <t>Ballet / ballerina costume</t>
  </si>
  <si>
    <t>Michael Kors Collection look referencing Misty Copeland’s ballet background, with a soft tulle skirt and structured cropped bodice. The personal dance connection is strong, but visually the look is more understated than expected for the Met Gala.</t>
  </si>
  <si>
    <t>Babyface</t>
  </si>
  <si>
    <t>LaQuan Smith</t>
  </si>
  <si>
    <t>Silver / white</t>
  </si>
  <si>
    <t>Tailored jacket with slim trousers</t>
  </si>
  <si>
    <t>Embellished tailoring / crystal suit</t>
  </si>
  <si>
    <t>Crystals, beading, structured tailoring, velvet/satin trousers</t>
  </si>
  <si>
    <t>Tailoring as art / Ornamentation</t>
  </si>
  <si>
    <t>Geometric crystal pattern</t>
  </si>
  <si>
    <t>Black LaQuan Smith tailored look with a crystal-patterned jacket. The embellishment adds visual interest, but the concept is fairly simple for the “Fashion is Art” theme.</t>
  </si>
  <si>
    <t>Gracie Abrams</t>
  </si>
  <si>
    <t>Gold / nude</t>
  </si>
  <si>
    <t>Multicolor / cream</t>
  </si>
  <si>
    <t>Fitted gown with chiffon skirt</t>
  </si>
  <si>
    <t>Embroidered couture gown / romantic Chanel gown</t>
  </si>
  <si>
    <t>Golden lace, nude chiffon, crystals, sequins, chains, embroidery</t>
  </si>
  <si>
    <t>Craftsmanship as art / Jewelry-body gown</t>
  </si>
  <si>
    <t>Chanel couture embroidery</t>
  </si>
  <si>
    <t>Chanel gown with golden lace, nude chiffon, crystals, sequins, and chains. The look emphasizes couture craftsmanship and delicate ornamentation, though the public vote is exactly split.</t>
  </si>
  <si>
    <t>Adut Akech</t>
  </si>
  <si>
    <t>Pink / white</t>
  </si>
  <si>
    <t>Fitted maternity gown with train</t>
  </si>
  <si>
    <t>Maternity couture gown / pregnant body look</t>
  </si>
  <si>
    <t>Tulle, lace, floral appliqués, layered texture, sheer panels</t>
  </si>
  <si>
    <t>Pregnant body / Body as art / Floral symbolism</t>
  </si>
  <si>
    <t>“Pregnant Body” theme from the Costume Art exhibition</t>
  </si>
  <si>
    <t>Medium-low</t>
  </si>
  <si>
    <t>Thom Browne maternity couture look referencing the “Pregnant Body” theme from the Costume Art exhibition. The black layered gown with floral appliqués makes pregnancy central to the fashion statement.</t>
  </si>
  <si>
    <t>Kendall Jenner</t>
  </si>
  <si>
    <t>Zac Posen</t>
  </si>
  <si>
    <t>Gap</t>
  </si>
  <si>
    <t>Ivory / cream</t>
  </si>
  <si>
    <t>Beige</t>
  </si>
  <si>
    <t>Draped Grecian gown with train</t>
  </si>
  <si>
    <t>Grecian sculptural gown</t>
  </si>
  <si>
    <t>Tea-dyed jersey, molded leather, chiffon, organza</t>
  </si>
  <si>
    <t>Classical body / Drapery as art</t>
  </si>
  <si>
    <t>Winged Victory of Samothrace</t>
  </si>
  <si>
    <t>Custom Gap look by Zac Posen inspired by Winged Victory of Samothrace. The draping and molded bodice turn a simple T-shirt reference into a classical sculptural gown.</t>
  </si>
  <si>
    <t>Cher</t>
  </si>
  <si>
    <t>Daniel Lee</t>
  </si>
  <si>
    <t>Burberry</t>
  </si>
  <si>
    <t>Fitted gown with leather jacket and train</t>
  </si>
  <si>
    <t>Gothic rock gown / leather evening look</t>
  </si>
  <si>
    <t>Leather, lace, sheer fabric, tulle train</t>
  </si>
  <si>
    <t>Archival celebrity reference / Rock glamour</t>
  </si>
  <si>
    <t>Cher’s 1974 Met dress by Bob Mackie</t>
  </si>
  <si>
    <t>Black Burberry look referencing Cher’s 1974 Bob Mackie Met dress. The leather and lace styling gives it a gothic rock feel, but the theme connection is mostly archival and subtle.</t>
  </si>
  <si>
    <t>Anok Yai</t>
  </si>
  <si>
    <t>Pierpaolo Piccioli</t>
  </si>
  <si>
    <t>Balenciaga</t>
  </si>
  <si>
    <t>Structural hooded ball gown</t>
  </si>
  <si>
    <t>Sculptural black gown / hooded couture gown</t>
  </si>
  <si>
    <t>Structured taffeta-like fabric, ruched bodice, dramatic hood, gloves</t>
  </si>
  <si>
    <t>Sculptural / Black Madonna / Body as icon</t>
  </si>
  <si>
    <t>Black Madonna / religious iconography / couture sculpture</t>
  </si>
  <si>
    <t>Custom Balenciaga sculptural black gown with a dramatic hooded structure. The look transforms Anok Yai into an icon-like figure and has strong visual impact, making it one of the clearest high-fashion interpretations of “Fashion is Art.”</t>
  </si>
  <si>
    <t>Hoyeon</t>
  </si>
  <si>
    <t>Nicolas Ghesquière</t>
  </si>
  <si>
    <t>Louis Vuitton</t>
  </si>
  <si>
    <t>Fitted leather gown with cage overskirt</t>
  </si>
  <si>
    <t>Leather couture gown / cage-structured look</t>
  </si>
  <si>
    <t>Leather, leather flowers, cage structure, glossy surface</t>
  </si>
  <si>
    <t>Wearable art / Sculptural / Floral armour</t>
  </si>
  <si>
    <t>Flower cage / sculptural overskirt</t>
  </si>
  <si>
    <t>Black Louis Vuitton leather gown with a cage-structured overskirt covered in leather flowers. The look feels like wearable sculpture, though public approval was low.</t>
  </si>
  <si>
    <t>Madonna</t>
  </si>
  <si>
    <t>Grey / navy</t>
  </si>
  <si>
    <t>Column gown with dramatic veil/headpiece</t>
  </si>
  <si>
    <t>Gothic bridal / theatrical veil look</t>
  </si>
  <si>
    <t>Silk, tulle, resin, dramatic veil, gloves</t>
  </si>
  <si>
    <t>Performance art / Gothic iconography / Theatrical</t>
  </si>
  <si>
    <t>Madonna’s “Like a Virgin” / “Confessions” era visual language</t>
  </si>
  <si>
    <t>Saint Laurent look by Anthony Vaccarello with a dramatic veil, black gown, gloves, and theatrical styling. It strongly connects to Madonna’s own visual history and performance iconography.</t>
  </si>
  <si>
    <t>Blake Lively</t>
  </si>
  <si>
    <t>Donatella Versace</t>
  </si>
  <si>
    <t>Versace</t>
  </si>
  <si>
    <t>Peach / pastel pink</t>
  </si>
  <si>
    <t>Ball gown with corset bodice and large train</t>
  </si>
  <si>
    <t>Archival romantic gown / Rococo-inspired gown</t>
  </si>
  <si>
    <t>Tulle, layered ruffles, corset bodice, pastel train</t>
  </si>
  <si>
    <t>Historical painting-inspired / Rococo / Archival fashion</t>
  </si>
  <si>
    <t>18th-century Venetian Rococo paintings; archival Versace 2006</t>
  </si>
  <si>
    <t>Archival Versace gown from 2006, updated with a dramatic 13-foot train. The pastel layers and corseted shape reference 18th-century Rococo painting and romantic historical fashion.</t>
  </si>
  <si>
    <t>Damson Idris</t>
  </si>
  <si>
    <t>Oversized leather coat with straight trousers</t>
  </si>
  <si>
    <t>Leather menswear / oversized coat look</t>
  </si>
  <si>
    <t>Leather, poplin shirt, oversized cuffs</t>
  </si>
  <si>
    <t>Minimal tailoring / Leather as texture</t>
  </si>
  <si>
    <t>Classic Prada menswear / utilitarian leather coat</t>
  </si>
  <si>
    <t>Prada leather look with oversized coat, leather pants, and red shirt cuffs. The outfit is polished, but the concept is very subtle for the “Fashion is Art” theme.</t>
  </si>
  <si>
    <t>Tschabalala Self</t>
  </si>
  <si>
    <t>Brandon Blackwood</t>
  </si>
  <si>
    <t>Corseted bodice with puffed tulip skirt</t>
  </si>
  <si>
    <t>Sculptural mini gown / ballerina-inspired look</t>
  </si>
  <si>
    <t>Structured corset, puffed fabric, satin-like texture</t>
  </si>
  <si>
    <t>Dance as art / Floral sculpture</t>
  </si>
  <si>
    <t>Edgar Degas ballerina sculpture; upside-down tulip</t>
  </si>
  <si>
    <t>Brandon Blackwood look inspired by Edgar Degas’s ballerina sculpture and the idea of an upside-down tulip. The sculptural skirt connects to the theme, but the public approval was very low.</t>
  </si>
  <si>
    <t>Bee Carrozzini</t>
  </si>
  <si>
    <t>Sarah Burton</t>
  </si>
  <si>
    <t>Givenchy</t>
  </si>
  <si>
    <t>Silver / multicolor</t>
  </si>
  <si>
    <t>Fitted column gown with fringe hem</t>
  </si>
  <si>
    <t>Floral embroidered gown / fringe gown</t>
  </si>
  <si>
    <t>Embroidery, fringe, floral details, embellished fabric</t>
  </si>
  <si>
    <t>Craftsmanship as art / Floral embroidery</t>
  </si>
  <si>
    <t>Floral embroidery and artisanal fashion</t>
  </si>
  <si>
    <t>Givenchy look by Sarah Burton with floral embroidery and fringe, celebrating artistry in fashion through surface detail and handcraft.</t>
  </si>
  <si>
    <t>Ben Platt</t>
  </si>
  <si>
    <t>Tanner Fletcher</t>
  </si>
  <si>
    <t>Mint green</t>
  </si>
  <si>
    <t>Cream / pastel</t>
  </si>
  <si>
    <t>Classic tailored suit</t>
  </si>
  <si>
    <t>Painted suit / illustrated tailoring</t>
  </si>
  <si>
    <t>Silk-wool, hand-painted details, embroidery</t>
  </si>
  <si>
    <t>Painting-inspired / Illustration as fashion</t>
  </si>
  <si>
    <r>
      <t xml:space="preserve">Georges Seurat, </t>
    </r>
    <r>
      <rPr>
        <i/>
        <sz val="11"/>
        <color theme="1"/>
        <rFont val="Aptos Narrow"/>
        <family val="2"/>
        <scheme val="minor"/>
      </rPr>
      <t>A Sunday Afternoon on the Island of La Grande Jatte</t>
    </r>
  </si>
  <si>
    <r>
      <t xml:space="preserve">Hand-painted and embroidered Tanner Fletcher suit inspired by Georges Seurat’s </t>
    </r>
    <r>
      <rPr>
        <i/>
        <sz val="11"/>
        <color theme="1"/>
        <rFont val="Aptos Narrow"/>
        <family val="2"/>
        <scheme val="minor"/>
      </rPr>
      <t>A Sunday Afternoon on the Island of La Grande Jatte</t>
    </r>
    <r>
      <rPr>
        <sz val="11"/>
        <color theme="1"/>
        <rFont val="Aptos Narrow"/>
        <family val="2"/>
        <scheme val="minor"/>
      </rPr>
      <t>, which is featured in the Costume Art exhibition. Strong theme fit despite low public approval.</t>
    </r>
  </si>
  <si>
    <t>Lauren Sánchez Bezos</t>
  </si>
  <si>
    <t>Navy blue</t>
  </si>
  <si>
    <t>Fitted satin gown</t>
  </si>
  <si>
    <t>Classic evening gown / painting-inspired gown</t>
  </si>
  <si>
    <t>Satin, off-shoulder neckline, brooch detail</t>
  </si>
  <si>
    <t>Painting-inspired / Old Hollywood glamour</t>
  </si>
  <si>
    <r>
      <t xml:space="preserve">John Singer Sargent’s </t>
    </r>
    <r>
      <rPr>
        <i/>
        <sz val="11"/>
        <color theme="1"/>
        <rFont val="Aptos Narrow"/>
        <family val="2"/>
        <scheme val="minor"/>
      </rPr>
      <t>Madame X</t>
    </r>
  </si>
  <si>
    <r>
      <t xml:space="preserve">Schiaparelli gown inspired by John Singer Sargent’s </t>
    </r>
    <r>
      <rPr>
        <i/>
        <sz val="11"/>
        <color theme="1"/>
        <rFont val="Aptos Narrow"/>
        <family val="2"/>
        <scheme val="minor"/>
      </rPr>
      <t>Madame X</t>
    </r>
    <r>
      <rPr>
        <sz val="11"/>
        <color theme="1"/>
        <rFont val="Aptos Narrow"/>
        <family val="2"/>
        <scheme val="minor"/>
      </rPr>
      <t>, including the slipped-strap reference. The concept is art-historical, but the execution was not well received by voters.</t>
    </r>
  </si>
  <si>
    <t>Isla Johnston</t>
  </si>
  <si>
    <t>Pale blue</t>
  </si>
  <si>
    <t>Straight column gown</t>
  </si>
  <si>
    <t>Minimal column dress</t>
  </si>
  <si>
    <t>Wispy fabric, shimmer, delicate embellishment</t>
  </si>
  <si>
    <t>Minimalist art / Subtle texture</t>
  </si>
  <si>
    <t>Minimal modern eveningwear</t>
  </si>
  <si>
    <t>Pale blue Loewe column dress with a wispy, delicate texture and unexpected leggings underneath. Pretty, but conceptually very subtle for the “Fashion is Art” theme.</t>
  </si>
  <si>
    <t>Louisa Jacobson</t>
  </si>
  <si>
    <t>Dilara Findikoglu</t>
  </si>
  <si>
    <t>Ivory</t>
  </si>
  <si>
    <t>Corseted mini dress with long train</t>
  </si>
  <si>
    <t>Chainmail-inspired dress / medieval couture look</t>
  </si>
  <si>
    <t>Metal hardware, chainmail effect, corset, chiffon train, ruff collar</t>
  </si>
  <si>
    <t>Medieval / Armour as art / Sculptural body</t>
  </si>
  <si>
    <t>Medieval chainmail and ruff collar</t>
  </si>
  <si>
    <t>Dilara Findikoglu chainmail-inspired look with metal hardware, corsetry, chiffon train, and a ruff collar. The look turns medieval armour references into wearable fashion art.</t>
  </si>
  <si>
    <t>Hunter Schafer</t>
  </si>
  <si>
    <t>Blue / grey / pink</t>
  </si>
  <si>
    <t>Fitted gown with dramatic train</t>
  </si>
  <si>
    <t>Painting-inspired gown / archival art gown</t>
  </si>
  <si>
    <t>Soft fabric, printed textile, sculptural cutouts, long train</t>
  </si>
  <si>
    <t>Painting-inspired / Archival reference / Romantic art</t>
  </si>
  <si>
    <r>
      <t xml:space="preserve">Klimt’s </t>
    </r>
    <r>
      <rPr>
        <i/>
        <sz val="11"/>
        <color theme="1"/>
        <rFont val="Aptos Narrow"/>
        <family val="2"/>
        <scheme val="minor"/>
      </rPr>
      <t>Mäda Primavesi</t>
    </r>
    <r>
      <rPr>
        <sz val="11"/>
        <color theme="1"/>
        <rFont val="Aptos Narrow"/>
        <family val="2"/>
        <scheme val="minor"/>
      </rPr>
      <t xml:space="preserve"> 1912/1913</t>
    </r>
  </si>
  <si>
    <r>
      <t xml:space="preserve">Custom Prada look inspired by Klimt’s </t>
    </r>
    <r>
      <rPr>
        <i/>
        <sz val="11"/>
        <color theme="1"/>
        <rFont val="Aptos Narrow"/>
        <family val="2"/>
        <scheme val="minor"/>
      </rPr>
      <t>Mäda Primavesi</t>
    </r>
    <r>
      <rPr>
        <sz val="11"/>
        <color theme="1"/>
        <rFont val="Aptos Narrow"/>
        <family val="2"/>
        <scheme val="minor"/>
      </rPr>
      <t>. The floral train, soft color palette, and artistic textile effect make the gown feel like a delicate painting translated into fashion. Strong theme fit despite being under 50% in the vote.</t>
    </r>
  </si>
  <si>
    <t>Sculptural column</t>
  </si>
  <si>
    <t>Sculptural gown</t>
  </si>
  <si>
    <t xml:space="preserve">Medium </t>
  </si>
  <si>
    <t xml:space="preserve">No </t>
  </si>
  <si>
    <t xml:space="preserve">Yes </t>
  </si>
  <si>
    <t>Tailoring as art</t>
  </si>
  <si>
    <t>Performance / Costume</t>
  </si>
  <si>
    <t>Floral / Nature</t>
  </si>
  <si>
    <t>Minimalist art</t>
  </si>
  <si>
    <t>Personal symbolism</t>
  </si>
  <si>
    <t>Craftsmanship as art</t>
  </si>
  <si>
    <t>Film / Music / Dance as art</t>
  </si>
  <si>
    <t>Row Labels</t>
  </si>
  <si>
    <t>Grand Total</t>
  </si>
  <si>
    <t>Count of Celebrity</t>
  </si>
  <si>
    <t>Average of Vote Yes Percent</t>
  </si>
  <si>
    <t>Color group</t>
  </si>
  <si>
    <t>Grey</t>
  </si>
  <si>
    <t>Nude</t>
  </si>
  <si>
    <t>Blue</t>
  </si>
  <si>
    <t>Green</t>
  </si>
  <si>
    <t>Chartreuse</t>
  </si>
  <si>
    <t>Orange</t>
  </si>
  <si>
    <t>Max. of Vote Yes Percent</t>
  </si>
  <si>
    <t>Strong Theme Fit, Lower Public Approval</t>
  </si>
  <si>
    <t>Looks rated High or Very high theme fit with under 50% “Yes” vote</t>
  </si>
  <si>
    <t xml:space="preserve"> High</t>
  </si>
  <si>
    <t xml:space="preserve"> Medium-high</t>
  </si>
  <si>
    <t xml:space="preserve"> Medium</t>
  </si>
  <si>
    <t xml:space="preserve"> Medium / borderline</t>
  </si>
  <si>
    <t xml:space="preserve"> Medium-low</t>
  </si>
  <si>
    <t xml:space="preserve"> Low</t>
  </si>
  <si>
    <t xml:space="preserve"> Very low</t>
  </si>
  <si>
    <t>Legend / Category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</si>
</sst>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i/>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theme="0"/>
      <name val="Aptos Narrow"/>
      <family val="2"/>
      <scheme val="minor"/>
    </font>
    <font>
      <b/>
      <sz val="12"/>
      <color theme="0"/>
      <name val="Aptos Narrow"/>
      <family val="2"/>
      <scheme val="minor"/>
    </font>
    <font>
      <b/>
      <sz val="14"/>
      <color theme="0"/>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23495E"/>
        <bgColor indexed="64"/>
      </patternFill>
    </fill>
    <fill>
      <patternFill patternType="solid">
        <fgColor rgb="FFF7F9FA"/>
        <bgColor indexed="64"/>
      </patternFill>
    </fill>
    <fill>
      <patternFill patternType="solid">
        <fgColor rgb="FFEAF1F5"/>
        <bgColor indexed="64"/>
      </patternFill>
    </fill>
  </fills>
  <borders count="14">
    <border>
      <left/>
      <right/>
      <top/>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9"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0" fontId="3" fillId="2" borderId="1" xfId="0" applyFont="1" applyFill="1" applyBorder="1"/>
    <xf numFmtId="0" fontId="3" fillId="2" borderId="2" xfId="0" applyFont="1" applyFill="1" applyBorder="1" applyAlignment="1">
      <alignment horizontal="left"/>
    </xf>
    <xf numFmtId="0" fontId="3" fillId="2" borderId="2" xfId="0" applyFont="1" applyFill="1" applyBorder="1"/>
    <xf numFmtId="9" fontId="3" fillId="2" borderId="2" xfId="0" applyNumberFormat="1" applyFont="1" applyFill="1" applyBorder="1"/>
    <xf numFmtId="0" fontId="0" fillId="0" borderId="6" xfId="0" applyBorder="1"/>
    <xf numFmtId="0" fontId="0" fillId="0" borderId="7" xfId="0" applyBorder="1"/>
    <xf numFmtId="0" fontId="0" fillId="0" borderId="5" xfId="0" applyBorder="1"/>
    <xf numFmtId="0" fontId="0" fillId="0" borderId="4" xfId="0" applyBorder="1"/>
    <xf numFmtId="0" fontId="0" fillId="0" borderId="3" xfId="0" applyBorder="1"/>
    <xf numFmtId="9" fontId="0" fillId="0" borderId="9" xfId="0" applyNumberFormat="1" applyBorder="1"/>
    <xf numFmtId="9" fontId="0" fillId="0" borderId="11" xfId="0" applyNumberFormat="1" applyBorder="1"/>
    <xf numFmtId="9" fontId="0" fillId="0" borderId="10" xfId="0" applyNumberFormat="1" applyBorder="1"/>
    <xf numFmtId="0" fontId="0" fillId="4" borderId="5" xfId="0" applyFill="1" applyBorder="1"/>
    <xf numFmtId="0" fontId="0" fillId="4" borderId="0" xfId="0" applyFill="1"/>
    <xf numFmtId="9" fontId="0" fillId="4" borderId="11" xfId="0" applyNumberFormat="1" applyFill="1" applyBorder="1"/>
    <xf numFmtId="0" fontId="4" fillId="3" borderId="8" xfId="0" applyFont="1" applyFill="1" applyBorder="1"/>
    <xf numFmtId="0" fontId="4" fillId="3" borderId="8" xfId="0" applyFont="1" applyFill="1" applyBorder="1" applyAlignment="1">
      <alignment wrapText="1"/>
    </xf>
    <xf numFmtId="0" fontId="0" fillId="0" borderId="7" xfId="0" applyBorder="1" applyAlignment="1">
      <alignment wrapText="1"/>
    </xf>
    <xf numFmtId="0" fontId="0" fillId="4" borderId="0" xfId="0" applyFill="1" applyAlignment="1">
      <alignment wrapText="1"/>
    </xf>
    <xf numFmtId="0" fontId="0" fillId="0" borderId="0" xfId="0" applyAlignment="1">
      <alignment wrapText="1"/>
    </xf>
    <xf numFmtId="0" fontId="0" fillId="0" borderId="3" xfId="0" applyBorder="1" applyAlignment="1">
      <alignment wrapText="1"/>
    </xf>
    <xf numFmtId="0" fontId="0" fillId="5" borderId="5" xfId="0" applyFill="1" applyBorder="1"/>
    <xf numFmtId="0" fontId="0" fillId="5" borderId="0" xfId="0" applyFill="1"/>
    <xf numFmtId="0" fontId="0" fillId="5" borderId="0" xfId="0" applyFill="1" applyAlignment="1">
      <alignment wrapText="1"/>
    </xf>
    <xf numFmtId="9" fontId="0" fillId="5" borderId="11" xfId="0" applyNumberFormat="1" applyFill="1" applyBorder="1"/>
    <xf numFmtId="0" fontId="2" fillId="3" borderId="8" xfId="0" applyFont="1" applyFill="1" applyBorder="1"/>
    <xf numFmtId="0" fontId="2" fillId="3" borderId="0" xfId="0" applyFont="1" applyFill="1"/>
    <xf numFmtId="0" fontId="0" fillId="0" borderId="12" xfId="0" applyBorder="1"/>
    <xf numFmtId="0" fontId="0" fillId="0" borderId="13" xfId="0" applyBorder="1"/>
    <xf numFmtId="0" fontId="0" fillId="0" borderId="0" xfId="0" applyAlignment="1">
      <alignment horizontal="center" wrapText="1"/>
    </xf>
    <xf numFmtId="0" fontId="7" fillId="3" borderId="0" xfId="0" applyFont="1" applyFill="1" applyAlignment="1">
      <alignment horizont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9" xfId="0" applyFont="1" applyFill="1" applyBorder="1" applyAlignment="1">
      <alignment horizontal="center"/>
    </xf>
    <xf numFmtId="0" fontId="5" fillId="3" borderId="4" xfId="0" applyFont="1" applyFill="1" applyBorder="1" applyAlignment="1">
      <alignment horizontal="center"/>
    </xf>
    <xf numFmtId="0" fontId="2" fillId="3" borderId="3" xfId="0" applyFont="1" applyFill="1" applyBorder="1" applyAlignment="1">
      <alignment horizontal="center"/>
    </xf>
    <xf numFmtId="0" fontId="2" fillId="3" borderId="10" xfId="0" applyFont="1" applyFill="1" applyBorder="1" applyAlignment="1">
      <alignment horizontal="center"/>
    </xf>
  </cellXfs>
  <cellStyles count="1">
    <cellStyle name="Normal" xfId="0" builtinId="0"/>
  </cellStyles>
  <dxfs count="5">
    <dxf>
      <alignment horizontal="general" vertical="bottom" textRotation="0" wrapText="1" indent="0" justifyLastLine="0" shrinkToFit="0" readingOrder="0"/>
    </dxf>
    <dxf>
      <numFmt numFmtId="13" formatCode="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23495E"/>
        </patternFill>
      </fill>
    </dxf>
  </dxfs>
  <tableStyles count="0" defaultTableStyle="TableStyleMedium2" defaultPivotStyle="PivotStyleLight16"/>
  <colors>
    <mruColors>
      <color rgb="FFF7F9FA"/>
      <color rgb="FF23495E"/>
      <color rgb="FFEAF1F5"/>
      <color rgb="FF3F738F"/>
      <color rgb="FF6E9AB4"/>
      <color rgb="FF96B7CC"/>
      <color rgb="FFBDD2E2"/>
      <color rgb="FFA8ADB4"/>
      <color rgb="FFDCE8F0"/>
      <color rgb="FF2F6C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Theme Fit Distribution in the Analyzed Vogue Sample</a:t>
            </a:r>
          </a:p>
        </c:rich>
      </c:tx>
      <c:layout>
        <c:manualLayout>
          <c:xMode val="edge"/>
          <c:yMode val="edge"/>
          <c:x val="0.16603625821229398"/>
          <c:y val="2.3102316234587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analysis_pivot!$Q$35:$Q$40</c:f>
              <c:strCache>
                <c:ptCount val="6"/>
                <c:pt idx="0">
                  <c:v>Very high</c:v>
                </c:pt>
                <c:pt idx="1">
                  <c:v>High</c:v>
                </c:pt>
                <c:pt idx="2">
                  <c:v>Medium-high</c:v>
                </c:pt>
                <c:pt idx="3">
                  <c:v>Medium</c:v>
                </c:pt>
                <c:pt idx="4">
                  <c:v>Low-medium</c:v>
                </c:pt>
                <c:pt idx="5">
                  <c:v>Low</c:v>
                </c:pt>
              </c:strCache>
            </c:strRef>
          </c:cat>
          <c:val>
            <c:numRef>
              <c:f>analysis_pivot!$R$35:$R$40</c:f>
              <c:numCache>
                <c:formatCode>General</c:formatCode>
                <c:ptCount val="6"/>
                <c:pt idx="0">
                  <c:v>9</c:v>
                </c:pt>
                <c:pt idx="1">
                  <c:v>26</c:v>
                </c:pt>
                <c:pt idx="2">
                  <c:v>15</c:v>
                </c:pt>
                <c:pt idx="3">
                  <c:v>11</c:v>
                </c:pt>
                <c:pt idx="4">
                  <c:v>6</c:v>
                </c:pt>
                <c:pt idx="5">
                  <c:v>1</c:v>
                </c:pt>
              </c:numCache>
            </c:numRef>
          </c:val>
          <c:extLst>
            <c:ext xmlns:c16="http://schemas.microsoft.com/office/drawing/2014/chart" uri="{C3380CC4-5D6E-409C-BE32-E72D297353CC}">
              <c16:uniqueId val="{00000000-305E-4061-A33F-B2201196A9F4}"/>
            </c:ext>
          </c:extLst>
        </c:ser>
        <c:dLbls>
          <c:dLblPos val="outEnd"/>
          <c:showLegendKey val="0"/>
          <c:showVal val="1"/>
          <c:showCatName val="0"/>
          <c:showSerName val="0"/>
          <c:showPercent val="0"/>
          <c:showBubbleSize val="0"/>
        </c:dLbls>
        <c:gapWidth val="219"/>
        <c:overlap val="-27"/>
        <c:axId val="512804991"/>
        <c:axId val="512804031"/>
      </c:barChart>
      <c:catAx>
        <c:axId val="512804991"/>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baseline="0">
                    <a:solidFill>
                      <a:sysClr val="windowText" lastClr="000000">
                        <a:lumMod val="65000"/>
                        <a:lumOff val="35000"/>
                      </a:sysClr>
                    </a:solidFill>
                  </a:rPr>
                  <a:t>Number of Looks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2804031"/>
        <c:crosses val="autoZero"/>
        <c:auto val="1"/>
        <c:lblAlgn val="ctr"/>
        <c:lblOffset val="100"/>
        <c:noMultiLvlLbl val="0"/>
      </c:catAx>
      <c:valAx>
        <c:axId val="512804031"/>
        <c:scaling>
          <c:orientation val="minMax"/>
        </c:scaling>
        <c:delete val="1"/>
        <c:axPos val="r"/>
        <c:numFmt formatCode="General" sourceLinked="1"/>
        <c:majorTickMark val="none"/>
        <c:minorTickMark val="none"/>
        <c:tickLblPos val="nextTo"/>
        <c:crossAx val="512804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“Yes” Vote Percentage by Theme 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analysis_pivot!$Q$44:$Q$49</c:f>
              <c:strCache>
                <c:ptCount val="6"/>
                <c:pt idx="0">
                  <c:v>Very high</c:v>
                </c:pt>
                <c:pt idx="1">
                  <c:v>High</c:v>
                </c:pt>
                <c:pt idx="2">
                  <c:v>Medium-high</c:v>
                </c:pt>
                <c:pt idx="3">
                  <c:v>Medium</c:v>
                </c:pt>
                <c:pt idx="4">
                  <c:v>Low-medium</c:v>
                </c:pt>
                <c:pt idx="5">
                  <c:v>Low</c:v>
                </c:pt>
              </c:strCache>
            </c:strRef>
          </c:cat>
          <c:val>
            <c:numRef>
              <c:f>analysis_pivot!$R$44:$R$49</c:f>
              <c:numCache>
                <c:formatCode>0%</c:formatCode>
                <c:ptCount val="6"/>
                <c:pt idx="0">
                  <c:v>0.50555555555555554</c:v>
                </c:pt>
                <c:pt idx="1">
                  <c:v>0.37653846153846149</c:v>
                </c:pt>
                <c:pt idx="2">
                  <c:v>0.2266666666666666</c:v>
                </c:pt>
                <c:pt idx="3">
                  <c:v>0.1990909090909091</c:v>
                </c:pt>
                <c:pt idx="4">
                  <c:v>0.155</c:v>
                </c:pt>
                <c:pt idx="5">
                  <c:v>0.12</c:v>
                </c:pt>
              </c:numCache>
            </c:numRef>
          </c:val>
          <c:extLst>
            <c:ext xmlns:c16="http://schemas.microsoft.com/office/drawing/2014/chart" uri="{C3380CC4-5D6E-409C-BE32-E72D297353CC}">
              <c16:uniqueId val="{00000000-4DC1-462E-85C8-300F49735AA3}"/>
            </c:ext>
          </c:extLst>
        </c:ser>
        <c:dLbls>
          <c:dLblPos val="outEnd"/>
          <c:showLegendKey val="0"/>
          <c:showVal val="1"/>
          <c:showCatName val="0"/>
          <c:showSerName val="0"/>
          <c:showPercent val="0"/>
          <c:showBubbleSize val="0"/>
        </c:dLbls>
        <c:gapWidth val="219"/>
        <c:overlap val="-27"/>
        <c:axId val="580973279"/>
        <c:axId val="580972319"/>
      </c:barChart>
      <c:catAx>
        <c:axId val="5809732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580972319"/>
        <c:crosses val="autoZero"/>
        <c:auto val="1"/>
        <c:lblAlgn val="ctr"/>
        <c:lblOffset val="100"/>
        <c:noMultiLvlLbl val="0"/>
      </c:catAx>
      <c:valAx>
        <c:axId val="580972319"/>
        <c:scaling>
          <c:orientation val="minMax"/>
        </c:scaling>
        <c:delete val="1"/>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Average "Yes" Vote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5809732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Fashion Houses in the Analyzed Vogue Sample</a:t>
            </a:r>
          </a:p>
          <a:p>
            <a:pPr>
              <a:defRPr/>
            </a:pPr>
            <a:endParaRPr lang="en-GB"/>
          </a:p>
        </c:rich>
      </c:tx>
      <c:layout>
        <c:manualLayout>
          <c:xMode val="edge"/>
          <c:yMode val="edge"/>
          <c:x val="0.16616215820669805"/>
          <c:y val="2.7777576040155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analysis_pivot!$Q$53:$Q$62</c:f>
              <c:strCache>
                <c:ptCount val="10"/>
                <c:pt idx="0">
                  <c:v>Saint Laurent</c:v>
                </c:pt>
                <c:pt idx="1">
                  <c:v>Thom Browne</c:v>
                </c:pt>
                <c:pt idx="2">
                  <c:v>Chanel</c:v>
                </c:pt>
                <c:pt idx="3">
                  <c:v>Dior</c:v>
                </c:pt>
                <c:pt idx="4">
                  <c:v>Prada</c:v>
                </c:pt>
                <c:pt idx="5">
                  <c:v>Christian Siriano</c:v>
                </c:pt>
                <c:pt idx="6">
                  <c:v>Jacquemus</c:v>
                </c:pt>
                <c:pt idx="7">
                  <c:v>Loewe</c:v>
                </c:pt>
                <c:pt idx="8">
                  <c:v>Michael Kors Collection</c:v>
                </c:pt>
                <c:pt idx="9">
                  <c:v>Valentino</c:v>
                </c:pt>
              </c:strCache>
            </c:strRef>
          </c:cat>
          <c:val>
            <c:numRef>
              <c:f>analysis_pivot!$R$53:$R$62</c:f>
              <c:numCache>
                <c:formatCode>General</c:formatCode>
                <c:ptCount val="10"/>
                <c:pt idx="0">
                  <c:v>5</c:v>
                </c:pt>
                <c:pt idx="1">
                  <c:v>5</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00A7-4825-9926-CDB66AF61F08}"/>
            </c:ext>
          </c:extLst>
        </c:ser>
        <c:dLbls>
          <c:dLblPos val="outEnd"/>
          <c:showLegendKey val="0"/>
          <c:showVal val="1"/>
          <c:showCatName val="0"/>
          <c:showSerName val="0"/>
          <c:showPercent val="0"/>
          <c:showBubbleSize val="0"/>
        </c:dLbls>
        <c:gapWidth val="182"/>
        <c:axId val="559444687"/>
        <c:axId val="559440367"/>
      </c:barChart>
      <c:catAx>
        <c:axId val="559444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40367"/>
        <c:crosses val="autoZero"/>
        <c:auto val="1"/>
        <c:lblAlgn val="ctr"/>
        <c:lblOffset val="100"/>
        <c:noMultiLvlLbl val="0"/>
      </c:catAx>
      <c:valAx>
        <c:axId val="559440367"/>
        <c:scaling>
          <c:orientation val="minMax"/>
        </c:scaling>
        <c:delete val="1"/>
        <c:axPos val="t"/>
        <c:numFmt formatCode="General" sourceLinked="1"/>
        <c:majorTickMark val="none"/>
        <c:minorTickMark val="none"/>
        <c:tickLblPos val="nextTo"/>
        <c:crossAx val="55944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Primary Color Groups in the Analyzed Vogue Sample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2F2F36"/>
              </a:solidFill>
              <a:ln>
                <a:noFill/>
              </a:ln>
              <a:effectLst/>
            </c:spPr>
            <c:extLst>
              <c:ext xmlns:c16="http://schemas.microsoft.com/office/drawing/2014/chart" uri="{C3380CC4-5D6E-409C-BE32-E72D297353CC}">
                <c16:uniqueId val="{00000001-126E-4393-B32C-68AF7229CFCF}"/>
              </c:ext>
            </c:extLst>
          </c:dPt>
          <c:dPt>
            <c:idx val="1"/>
            <c:invertIfNegative val="0"/>
            <c:bubble3D val="0"/>
            <c:spPr>
              <a:solidFill>
                <a:srgbClr val="F5F3EE"/>
              </a:solidFill>
              <a:ln>
                <a:noFill/>
              </a:ln>
              <a:effectLst/>
            </c:spPr>
            <c:extLst>
              <c:ext xmlns:c16="http://schemas.microsoft.com/office/drawing/2014/chart" uri="{C3380CC4-5D6E-409C-BE32-E72D297353CC}">
                <c16:uniqueId val="{00000002-126E-4393-B32C-68AF7229CFCF}"/>
              </c:ext>
            </c:extLst>
          </c:dPt>
          <c:dPt>
            <c:idx val="2"/>
            <c:invertIfNegative val="0"/>
            <c:bubble3D val="0"/>
            <c:spPr>
              <a:solidFill>
                <a:srgbClr val="D89AA6"/>
              </a:solidFill>
              <a:ln>
                <a:noFill/>
              </a:ln>
              <a:effectLst/>
            </c:spPr>
            <c:extLst>
              <c:ext xmlns:c16="http://schemas.microsoft.com/office/drawing/2014/chart" uri="{C3380CC4-5D6E-409C-BE32-E72D297353CC}">
                <c16:uniqueId val="{00000003-126E-4393-B32C-68AF7229CFCF}"/>
              </c:ext>
            </c:extLst>
          </c:dPt>
          <c:dPt>
            <c:idx val="3"/>
            <c:invertIfNegative val="0"/>
            <c:bubble3D val="0"/>
            <c:spPr>
              <a:solidFill>
                <a:srgbClr val="8B7AA8"/>
              </a:solidFill>
              <a:ln>
                <a:noFill/>
              </a:ln>
              <a:effectLst/>
            </c:spPr>
            <c:extLst>
              <c:ext xmlns:c16="http://schemas.microsoft.com/office/drawing/2014/chart" uri="{C3380CC4-5D6E-409C-BE32-E72D297353CC}">
                <c16:uniqueId val="{00000004-126E-4393-B32C-68AF7229CFCF}"/>
              </c:ext>
            </c:extLst>
          </c:dPt>
          <c:dPt>
            <c:idx val="4"/>
            <c:invertIfNegative val="0"/>
            <c:bubble3D val="0"/>
            <c:spPr>
              <a:solidFill>
                <a:srgbClr val="5C7FA3"/>
              </a:solidFill>
              <a:ln>
                <a:noFill/>
              </a:ln>
              <a:effectLst/>
            </c:spPr>
            <c:extLst>
              <c:ext xmlns:c16="http://schemas.microsoft.com/office/drawing/2014/chart" uri="{C3380CC4-5D6E-409C-BE32-E72D297353CC}">
                <c16:uniqueId val="{00000005-126E-4393-B32C-68AF7229CFCF}"/>
              </c:ext>
            </c:extLst>
          </c:dPt>
          <c:dPt>
            <c:idx val="5"/>
            <c:invertIfNegative val="0"/>
            <c:bubble3D val="0"/>
            <c:spPr>
              <a:solidFill>
                <a:srgbClr val="C8A96B"/>
              </a:solidFill>
              <a:ln>
                <a:noFill/>
              </a:ln>
              <a:effectLst/>
            </c:spPr>
            <c:extLst>
              <c:ext xmlns:c16="http://schemas.microsoft.com/office/drawing/2014/chart" uri="{C3380CC4-5D6E-409C-BE32-E72D297353CC}">
                <c16:uniqueId val="{00000006-126E-4393-B32C-68AF7229CFCF}"/>
              </c:ext>
            </c:extLst>
          </c:dPt>
          <c:dPt>
            <c:idx val="6"/>
            <c:invertIfNegative val="0"/>
            <c:bubble3D val="0"/>
            <c:spPr>
              <a:solidFill>
                <a:srgbClr val="C9A88F"/>
              </a:solidFill>
              <a:ln>
                <a:noFill/>
              </a:ln>
              <a:effectLst/>
            </c:spPr>
            <c:extLst>
              <c:ext xmlns:c16="http://schemas.microsoft.com/office/drawing/2014/chart" uri="{C3380CC4-5D6E-409C-BE32-E72D297353CC}">
                <c16:uniqueId val="{00000007-126E-4393-B32C-68AF7229CFCF}"/>
              </c:ext>
            </c:extLst>
          </c:dPt>
          <c:dPt>
            <c:idx val="7"/>
            <c:invertIfNegative val="0"/>
            <c:bubble3D val="0"/>
            <c:spPr>
              <a:solidFill>
                <a:srgbClr val="B8615B"/>
              </a:solidFill>
              <a:ln>
                <a:noFill/>
              </a:ln>
              <a:effectLst/>
            </c:spPr>
            <c:extLst>
              <c:ext xmlns:c16="http://schemas.microsoft.com/office/drawing/2014/chart" uri="{C3380CC4-5D6E-409C-BE32-E72D297353CC}">
                <c16:uniqueId val="{00000008-126E-4393-B32C-68AF7229CFCF}"/>
              </c:ext>
            </c:extLst>
          </c:dPt>
          <c:dPt>
            <c:idx val="8"/>
            <c:invertIfNegative val="0"/>
            <c:bubble3D val="0"/>
            <c:spPr>
              <a:solidFill>
                <a:srgbClr val="A8ADB4"/>
              </a:solidFill>
              <a:ln>
                <a:noFill/>
              </a:ln>
              <a:effectLst/>
            </c:spPr>
            <c:extLst>
              <c:ext xmlns:c16="http://schemas.microsoft.com/office/drawing/2014/chart" uri="{C3380CC4-5D6E-409C-BE32-E72D297353CC}">
                <c16:uniqueId val="{00000009-126E-4393-B32C-68AF7229CFCF}"/>
              </c:ext>
            </c:extLst>
          </c:dPt>
          <c:dPt>
            <c:idx val="9"/>
            <c:invertIfNegative val="0"/>
            <c:bubble3D val="0"/>
            <c:spPr>
              <a:solidFill>
                <a:srgbClr val="7E9B7A"/>
              </a:solidFill>
              <a:ln>
                <a:noFill/>
              </a:ln>
              <a:effectLst/>
            </c:spPr>
            <c:extLst>
              <c:ext xmlns:c16="http://schemas.microsoft.com/office/drawing/2014/chart" uri="{C3380CC4-5D6E-409C-BE32-E72D297353CC}">
                <c16:uniqueId val="{0000000A-126E-4393-B32C-68AF7229CF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analysis_pivot!$Q$65:$Q$74</c:f>
              <c:strCache>
                <c:ptCount val="10"/>
                <c:pt idx="0">
                  <c:v>Black</c:v>
                </c:pt>
                <c:pt idx="1">
                  <c:v>White</c:v>
                </c:pt>
                <c:pt idx="2">
                  <c:v>Pink</c:v>
                </c:pt>
                <c:pt idx="3">
                  <c:v>Multicolor</c:v>
                </c:pt>
                <c:pt idx="4">
                  <c:v>Blue</c:v>
                </c:pt>
                <c:pt idx="5">
                  <c:v>Gold</c:v>
                </c:pt>
                <c:pt idx="6">
                  <c:v>Nude</c:v>
                </c:pt>
                <c:pt idx="7">
                  <c:v>Red</c:v>
                </c:pt>
                <c:pt idx="8">
                  <c:v>Silver</c:v>
                </c:pt>
                <c:pt idx="9">
                  <c:v>Green</c:v>
                </c:pt>
              </c:strCache>
            </c:strRef>
          </c:cat>
          <c:val>
            <c:numRef>
              <c:f>analysis_pivot!$R$65:$R$74</c:f>
              <c:numCache>
                <c:formatCode>General</c:formatCode>
                <c:ptCount val="10"/>
                <c:pt idx="0">
                  <c:v>26</c:v>
                </c:pt>
                <c:pt idx="1">
                  <c:v>8</c:v>
                </c:pt>
                <c:pt idx="2">
                  <c:v>5</c:v>
                </c:pt>
                <c:pt idx="3">
                  <c:v>5</c:v>
                </c:pt>
                <c:pt idx="4">
                  <c:v>4</c:v>
                </c:pt>
                <c:pt idx="5">
                  <c:v>3</c:v>
                </c:pt>
                <c:pt idx="6">
                  <c:v>3</c:v>
                </c:pt>
                <c:pt idx="7">
                  <c:v>3</c:v>
                </c:pt>
                <c:pt idx="8">
                  <c:v>3</c:v>
                </c:pt>
                <c:pt idx="9">
                  <c:v>2</c:v>
                </c:pt>
              </c:numCache>
            </c:numRef>
          </c:val>
          <c:extLst>
            <c:ext xmlns:c16="http://schemas.microsoft.com/office/drawing/2014/chart" uri="{C3380CC4-5D6E-409C-BE32-E72D297353CC}">
              <c16:uniqueId val="{00000000-126E-4393-B32C-68AF7229CFCF}"/>
            </c:ext>
          </c:extLst>
        </c:ser>
        <c:dLbls>
          <c:dLblPos val="outEnd"/>
          <c:showLegendKey val="0"/>
          <c:showVal val="1"/>
          <c:showCatName val="0"/>
          <c:showSerName val="0"/>
          <c:showPercent val="0"/>
          <c:showBubbleSize val="0"/>
        </c:dLbls>
        <c:gapWidth val="219"/>
        <c:overlap val="-27"/>
        <c:axId val="601398879"/>
        <c:axId val="601393599"/>
      </c:barChart>
      <c:catAx>
        <c:axId val="60139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Color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3599"/>
        <c:crosses val="autoZero"/>
        <c:auto val="1"/>
        <c:lblAlgn val="ctr"/>
        <c:lblOffset val="100"/>
        <c:noMultiLvlLbl val="0"/>
      </c:catAx>
      <c:valAx>
        <c:axId val="60139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Number of Looks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0139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Highest-Voted Looks in the Analyzed Vogue Sample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analysis_pivot!$T$25:$T$34</c:f>
              <c:strCache>
                <c:ptCount val="10"/>
                <c:pt idx="0">
                  <c:v>Lisa</c:v>
                </c:pt>
                <c:pt idx="1">
                  <c:v>KUN</c:v>
                </c:pt>
                <c:pt idx="2">
                  <c:v>Emma Chamberlain</c:v>
                </c:pt>
                <c:pt idx="3">
                  <c:v>Jisoo</c:v>
                </c:pt>
                <c:pt idx="4">
                  <c:v>Sabrina Carpenter</c:v>
                </c:pt>
                <c:pt idx="5">
                  <c:v>Anok Yai</c:v>
                </c:pt>
                <c:pt idx="6">
                  <c:v>Chase Infiniti</c:v>
                </c:pt>
                <c:pt idx="7">
                  <c:v>SZA</c:v>
                </c:pt>
                <c:pt idx="8">
                  <c:v>Anne Hathaway</c:v>
                </c:pt>
                <c:pt idx="9">
                  <c:v>Beyoncé</c:v>
                </c:pt>
              </c:strCache>
            </c:strRef>
          </c:cat>
          <c:val>
            <c:numRef>
              <c:f>analysis_pivot!$U$25:$U$34</c:f>
              <c:numCache>
                <c:formatCode>0%</c:formatCode>
                <c:ptCount val="10"/>
                <c:pt idx="0">
                  <c:v>0.69</c:v>
                </c:pt>
                <c:pt idx="1">
                  <c:v>0.68</c:v>
                </c:pt>
                <c:pt idx="2">
                  <c:v>0.67</c:v>
                </c:pt>
                <c:pt idx="3">
                  <c:v>0.65</c:v>
                </c:pt>
                <c:pt idx="4">
                  <c:v>0.62</c:v>
                </c:pt>
                <c:pt idx="5">
                  <c:v>0.59</c:v>
                </c:pt>
                <c:pt idx="6">
                  <c:v>0.55000000000000004</c:v>
                </c:pt>
                <c:pt idx="7">
                  <c:v>0.55000000000000004</c:v>
                </c:pt>
                <c:pt idx="8">
                  <c:v>0.53</c:v>
                </c:pt>
                <c:pt idx="9">
                  <c:v>0.52</c:v>
                </c:pt>
              </c:numCache>
            </c:numRef>
          </c:val>
          <c:extLst>
            <c:ext xmlns:c16="http://schemas.microsoft.com/office/drawing/2014/chart" uri="{C3380CC4-5D6E-409C-BE32-E72D297353CC}">
              <c16:uniqueId val="{00000000-B3CE-442F-8A94-F41D74558AEC}"/>
            </c:ext>
          </c:extLst>
        </c:ser>
        <c:dLbls>
          <c:dLblPos val="outEnd"/>
          <c:showLegendKey val="0"/>
          <c:showVal val="1"/>
          <c:showCatName val="0"/>
          <c:showSerName val="0"/>
          <c:showPercent val="0"/>
          <c:showBubbleSize val="0"/>
        </c:dLbls>
        <c:gapWidth val="182"/>
        <c:axId val="780053535"/>
        <c:axId val="780048735"/>
      </c:barChart>
      <c:catAx>
        <c:axId val="7800535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48735"/>
        <c:crosses val="autoZero"/>
        <c:auto val="1"/>
        <c:lblAlgn val="ctr"/>
        <c:lblOffset val="100"/>
        <c:noMultiLvlLbl val="0"/>
      </c:catAx>
      <c:valAx>
        <c:axId val="780048735"/>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Vote “Yes” %</a:t>
                </a:r>
              </a:p>
            </c:rich>
          </c:tx>
          <c:layout>
            <c:manualLayout>
              <c:xMode val="edge"/>
              <c:yMode val="edge"/>
              <c:x val="0.47439301755136581"/>
              <c:y val="0.118620660825489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780053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Theme Fit Distribution in the Analyzed Vogue Sample</a:t>
            </a:r>
          </a:p>
        </c:rich>
      </c:tx>
      <c:layout>
        <c:manualLayout>
          <c:xMode val="edge"/>
          <c:yMode val="edge"/>
          <c:x val="0.16603625821229398"/>
          <c:y val="2.3102316234587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23495E"/>
              </a:solidFill>
              <a:ln>
                <a:noFill/>
              </a:ln>
              <a:effectLst/>
            </c:spPr>
            <c:extLst>
              <c:ext xmlns:c16="http://schemas.microsoft.com/office/drawing/2014/chart" uri="{C3380CC4-5D6E-409C-BE32-E72D297353CC}">
                <c16:uniqueId val="{00000006-D9D2-47B0-B8A8-9A6F7AD57C26}"/>
              </c:ext>
            </c:extLst>
          </c:dPt>
          <c:dPt>
            <c:idx val="1"/>
            <c:invertIfNegative val="0"/>
            <c:bubble3D val="0"/>
            <c:spPr>
              <a:solidFill>
                <a:srgbClr val="3F738F"/>
              </a:solidFill>
              <a:ln>
                <a:noFill/>
              </a:ln>
              <a:effectLst/>
            </c:spPr>
            <c:extLst>
              <c:ext xmlns:c16="http://schemas.microsoft.com/office/drawing/2014/chart" uri="{C3380CC4-5D6E-409C-BE32-E72D297353CC}">
                <c16:uniqueId val="{00000005-D9D2-47B0-B8A8-9A6F7AD57C26}"/>
              </c:ext>
            </c:extLst>
          </c:dPt>
          <c:dPt>
            <c:idx val="2"/>
            <c:invertIfNegative val="0"/>
            <c:bubble3D val="0"/>
            <c:spPr>
              <a:solidFill>
                <a:srgbClr val="6E9AB4"/>
              </a:solidFill>
              <a:ln>
                <a:noFill/>
              </a:ln>
              <a:effectLst/>
            </c:spPr>
            <c:extLst>
              <c:ext xmlns:c16="http://schemas.microsoft.com/office/drawing/2014/chart" uri="{C3380CC4-5D6E-409C-BE32-E72D297353CC}">
                <c16:uniqueId val="{00000004-D9D2-47B0-B8A8-9A6F7AD57C26}"/>
              </c:ext>
            </c:extLst>
          </c:dPt>
          <c:dPt>
            <c:idx val="3"/>
            <c:invertIfNegative val="0"/>
            <c:bubble3D val="0"/>
            <c:spPr>
              <a:solidFill>
                <a:srgbClr val="96B7CC"/>
              </a:solidFill>
              <a:ln>
                <a:noFill/>
              </a:ln>
              <a:effectLst/>
            </c:spPr>
            <c:extLst>
              <c:ext xmlns:c16="http://schemas.microsoft.com/office/drawing/2014/chart" uri="{C3380CC4-5D6E-409C-BE32-E72D297353CC}">
                <c16:uniqueId val="{00000003-D9D2-47B0-B8A8-9A6F7AD57C26}"/>
              </c:ext>
            </c:extLst>
          </c:dPt>
          <c:dPt>
            <c:idx val="4"/>
            <c:invertIfNegative val="0"/>
            <c:bubble3D val="0"/>
            <c:spPr>
              <a:solidFill>
                <a:srgbClr val="BDD2E2"/>
              </a:solidFill>
              <a:ln>
                <a:noFill/>
              </a:ln>
              <a:effectLst/>
            </c:spPr>
            <c:extLst>
              <c:ext xmlns:c16="http://schemas.microsoft.com/office/drawing/2014/chart" uri="{C3380CC4-5D6E-409C-BE32-E72D297353CC}">
                <c16:uniqueId val="{00000002-D9D2-47B0-B8A8-9A6F7AD57C26}"/>
              </c:ext>
            </c:extLst>
          </c:dPt>
          <c:dPt>
            <c:idx val="5"/>
            <c:invertIfNegative val="0"/>
            <c:bubble3D val="0"/>
            <c:spPr>
              <a:solidFill>
                <a:srgbClr val="DCE8F0"/>
              </a:solidFill>
              <a:ln>
                <a:noFill/>
              </a:ln>
              <a:effectLst/>
            </c:spPr>
            <c:extLst>
              <c:ext xmlns:c16="http://schemas.microsoft.com/office/drawing/2014/chart" uri="{C3380CC4-5D6E-409C-BE32-E72D297353CC}">
                <c16:uniqueId val="{00000001-D9D2-47B0-B8A8-9A6F7AD57C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analysis_pivot!$Q$35:$Q$40</c:f>
              <c:strCache>
                <c:ptCount val="6"/>
                <c:pt idx="0">
                  <c:v>Very high</c:v>
                </c:pt>
                <c:pt idx="1">
                  <c:v>High</c:v>
                </c:pt>
                <c:pt idx="2">
                  <c:v>Medium-high</c:v>
                </c:pt>
                <c:pt idx="3">
                  <c:v>Medium</c:v>
                </c:pt>
                <c:pt idx="4">
                  <c:v>Low-medium</c:v>
                </c:pt>
                <c:pt idx="5">
                  <c:v>Low</c:v>
                </c:pt>
              </c:strCache>
            </c:strRef>
          </c:cat>
          <c:val>
            <c:numRef>
              <c:f>analysis_pivot!$R$35:$R$40</c:f>
              <c:numCache>
                <c:formatCode>General</c:formatCode>
                <c:ptCount val="6"/>
                <c:pt idx="0">
                  <c:v>9</c:v>
                </c:pt>
                <c:pt idx="1">
                  <c:v>26</c:v>
                </c:pt>
                <c:pt idx="2">
                  <c:v>15</c:v>
                </c:pt>
                <c:pt idx="3">
                  <c:v>11</c:v>
                </c:pt>
                <c:pt idx="4">
                  <c:v>6</c:v>
                </c:pt>
                <c:pt idx="5">
                  <c:v>1</c:v>
                </c:pt>
              </c:numCache>
            </c:numRef>
          </c:val>
          <c:extLst>
            <c:ext xmlns:c16="http://schemas.microsoft.com/office/drawing/2014/chart" uri="{C3380CC4-5D6E-409C-BE32-E72D297353CC}">
              <c16:uniqueId val="{00000000-D9D2-47B0-B8A8-9A6F7AD57C26}"/>
            </c:ext>
          </c:extLst>
        </c:ser>
        <c:dLbls>
          <c:dLblPos val="outEnd"/>
          <c:showLegendKey val="0"/>
          <c:showVal val="1"/>
          <c:showCatName val="0"/>
          <c:showSerName val="0"/>
          <c:showPercent val="0"/>
          <c:showBubbleSize val="0"/>
        </c:dLbls>
        <c:gapWidth val="219"/>
        <c:overlap val="-27"/>
        <c:axId val="512804991"/>
        <c:axId val="512804031"/>
      </c:barChart>
      <c:catAx>
        <c:axId val="512804991"/>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baseline="0">
                    <a:solidFill>
                      <a:sysClr val="windowText" lastClr="000000">
                        <a:lumMod val="65000"/>
                        <a:lumOff val="35000"/>
                      </a:sysClr>
                    </a:solidFill>
                  </a:rPr>
                  <a:t>Number of Looks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2804031"/>
        <c:crosses val="autoZero"/>
        <c:auto val="1"/>
        <c:lblAlgn val="ctr"/>
        <c:lblOffset val="100"/>
        <c:noMultiLvlLbl val="0"/>
      </c:catAx>
      <c:valAx>
        <c:axId val="512804031"/>
        <c:scaling>
          <c:orientation val="minMax"/>
        </c:scaling>
        <c:delete val="1"/>
        <c:axPos val="r"/>
        <c:numFmt formatCode="General" sourceLinked="1"/>
        <c:majorTickMark val="none"/>
        <c:minorTickMark val="none"/>
        <c:tickLblPos val="nextTo"/>
        <c:crossAx val="512804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Fashion Houses in the Analyzed Vogue Sample</a:t>
            </a:r>
          </a:p>
          <a:p>
            <a:pPr>
              <a:defRPr/>
            </a:pPr>
            <a:endParaRPr lang="en-GB"/>
          </a:p>
        </c:rich>
      </c:tx>
      <c:layout>
        <c:manualLayout>
          <c:xMode val="edge"/>
          <c:yMode val="edge"/>
          <c:x val="0.16616215820669805"/>
          <c:y val="2.7777576040155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7FA4BA"/>
            </a:solidFill>
            <a:ln>
              <a:noFill/>
            </a:ln>
            <a:effectLst/>
          </c:spPr>
          <c:invertIfNegative val="0"/>
          <c:dPt>
            <c:idx val="0"/>
            <c:invertIfNegative val="0"/>
            <c:bubble3D val="0"/>
            <c:spPr>
              <a:solidFill>
                <a:srgbClr val="2F6C8A"/>
              </a:solidFill>
              <a:ln>
                <a:noFill/>
              </a:ln>
              <a:effectLst/>
            </c:spPr>
            <c:extLst>
              <c:ext xmlns:c16="http://schemas.microsoft.com/office/drawing/2014/chart" uri="{C3380CC4-5D6E-409C-BE32-E72D297353CC}">
                <c16:uniqueId val="{00000001-76D4-4D07-8188-BC7B0F8C0076}"/>
              </c:ext>
            </c:extLst>
          </c:dPt>
          <c:dPt>
            <c:idx val="1"/>
            <c:invertIfNegative val="0"/>
            <c:bubble3D val="0"/>
            <c:spPr>
              <a:solidFill>
                <a:srgbClr val="2F6C8A"/>
              </a:solidFill>
              <a:ln>
                <a:noFill/>
              </a:ln>
              <a:effectLst/>
            </c:spPr>
            <c:extLst>
              <c:ext xmlns:c16="http://schemas.microsoft.com/office/drawing/2014/chart" uri="{C3380CC4-5D6E-409C-BE32-E72D297353CC}">
                <c16:uniqueId val="{00000002-76D4-4D07-8188-BC7B0F8C00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analysis_pivot!$Q$53:$Q$62</c:f>
              <c:strCache>
                <c:ptCount val="10"/>
                <c:pt idx="0">
                  <c:v>Saint Laurent</c:v>
                </c:pt>
                <c:pt idx="1">
                  <c:v>Thom Browne</c:v>
                </c:pt>
                <c:pt idx="2">
                  <c:v>Chanel</c:v>
                </c:pt>
                <c:pt idx="3">
                  <c:v>Dior</c:v>
                </c:pt>
                <c:pt idx="4">
                  <c:v>Prada</c:v>
                </c:pt>
                <c:pt idx="5">
                  <c:v>Christian Siriano</c:v>
                </c:pt>
                <c:pt idx="6">
                  <c:v>Jacquemus</c:v>
                </c:pt>
                <c:pt idx="7">
                  <c:v>Loewe</c:v>
                </c:pt>
                <c:pt idx="8">
                  <c:v>Michael Kors Collection</c:v>
                </c:pt>
                <c:pt idx="9">
                  <c:v>Valentino</c:v>
                </c:pt>
              </c:strCache>
            </c:strRef>
          </c:cat>
          <c:val>
            <c:numRef>
              <c:f>analysis_pivot!$R$53:$R$62</c:f>
              <c:numCache>
                <c:formatCode>General</c:formatCode>
                <c:ptCount val="10"/>
                <c:pt idx="0">
                  <c:v>5</c:v>
                </c:pt>
                <c:pt idx="1">
                  <c:v>5</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76D4-4D07-8188-BC7B0F8C0076}"/>
            </c:ext>
          </c:extLst>
        </c:ser>
        <c:dLbls>
          <c:dLblPos val="outEnd"/>
          <c:showLegendKey val="0"/>
          <c:showVal val="1"/>
          <c:showCatName val="0"/>
          <c:showSerName val="0"/>
          <c:showPercent val="0"/>
          <c:showBubbleSize val="0"/>
        </c:dLbls>
        <c:gapWidth val="182"/>
        <c:axId val="559444687"/>
        <c:axId val="559440367"/>
      </c:barChart>
      <c:catAx>
        <c:axId val="559444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40367"/>
        <c:crosses val="autoZero"/>
        <c:auto val="1"/>
        <c:lblAlgn val="ctr"/>
        <c:lblOffset val="100"/>
        <c:noMultiLvlLbl val="0"/>
      </c:catAx>
      <c:valAx>
        <c:axId val="559440367"/>
        <c:scaling>
          <c:orientation val="minMax"/>
        </c:scaling>
        <c:delete val="1"/>
        <c:axPos val="t"/>
        <c:numFmt formatCode="General" sourceLinked="1"/>
        <c:majorTickMark val="none"/>
        <c:minorTickMark val="none"/>
        <c:tickLblPos val="nextTo"/>
        <c:crossAx val="55944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“Yes” Vote Percentage by Theme 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23495E"/>
              </a:solidFill>
              <a:ln>
                <a:noFill/>
              </a:ln>
              <a:effectLst/>
            </c:spPr>
            <c:extLst>
              <c:ext xmlns:c16="http://schemas.microsoft.com/office/drawing/2014/chart" uri="{C3380CC4-5D6E-409C-BE32-E72D297353CC}">
                <c16:uniqueId val="{00000006-BF1C-4739-8F4A-349CAD309C30}"/>
              </c:ext>
            </c:extLst>
          </c:dPt>
          <c:dPt>
            <c:idx val="1"/>
            <c:invertIfNegative val="0"/>
            <c:bubble3D val="0"/>
            <c:spPr>
              <a:solidFill>
                <a:srgbClr val="3F738F"/>
              </a:solidFill>
              <a:ln>
                <a:noFill/>
              </a:ln>
              <a:effectLst/>
            </c:spPr>
            <c:extLst>
              <c:ext xmlns:c16="http://schemas.microsoft.com/office/drawing/2014/chart" uri="{C3380CC4-5D6E-409C-BE32-E72D297353CC}">
                <c16:uniqueId val="{00000005-BF1C-4739-8F4A-349CAD309C30}"/>
              </c:ext>
            </c:extLst>
          </c:dPt>
          <c:dPt>
            <c:idx val="2"/>
            <c:invertIfNegative val="0"/>
            <c:bubble3D val="0"/>
            <c:spPr>
              <a:solidFill>
                <a:srgbClr val="6E9AB4"/>
              </a:solidFill>
              <a:ln>
                <a:noFill/>
              </a:ln>
              <a:effectLst/>
            </c:spPr>
            <c:extLst>
              <c:ext xmlns:c16="http://schemas.microsoft.com/office/drawing/2014/chart" uri="{C3380CC4-5D6E-409C-BE32-E72D297353CC}">
                <c16:uniqueId val="{00000004-BF1C-4739-8F4A-349CAD309C30}"/>
              </c:ext>
            </c:extLst>
          </c:dPt>
          <c:dPt>
            <c:idx val="3"/>
            <c:invertIfNegative val="0"/>
            <c:bubble3D val="0"/>
            <c:spPr>
              <a:solidFill>
                <a:srgbClr val="96B7CC"/>
              </a:solidFill>
              <a:ln>
                <a:noFill/>
              </a:ln>
              <a:effectLst/>
            </c:spPr>
            <c:extLst>
              <c:ext xmlns:c16="http://schemas.microsoft.com/office/drawing/2014/chart" uri="{C3380CC4-5D6E-409C-BE32-E72D297353CC}">
                <c16:uniqueId val="{00000003-BF1C-4739-8F4A-349CAD309C30}"/>
              </c:ext>
            </c:extLst>
          </c:dPt>
          <c:dPt>
            <c:idx val="4"/>
            <c:invertIfNegative val="0"/>
            <c:bubble3D val="0"/>
            <c:spPr>
              <a:solidFill>
                <a:srgbClr val="BDD2E2"/>
              </a:solidFill>
              <a:ln>
                <a:noFill/>
              </a:ln>
              <a:effectLst/>
            </c:spPr>
            <c:extLst>
              <c:ext xmlns:c16="http://schemas.microsoft.com/office/drawing/2014/chart" uri="{C3380CC4-5D6E-409C-BE32-E72D297353CC}">
                <c16:uniqueId val="{00000002-BF1C-4739-8F4A-349CAD309C30}"/>
              </c:ext>
            </c:extLst>
          </c:dPt>
          <c:dPt>
            <c:idx val="5"/>
            <c:invertIfNegative val="0"/>
            <c:bubble3D val="0"/>
            <c:spPr>
              <a:solidFill>
                <a:srgbClr val="DCE8F0"/>
              </a:solidFill>
              <a:ln>
                <a:noFill/>
              </a:ln>
              <a:effectLst/>
            </c:spPr>
            <c:extLst>
              <c:ext xmlns:c16="http://schemas.microsoft.com/office/drawing/2014/chart" uri="{C3380CC4-5D6E-409C-BE32-E72D297353CC}">
                <c16:uniqueId val="{00000001-BF1C-4739-8F4A-349CAD309C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analysis_pivot!$Q$44:$Q$49</c:f>
              <c:strCache>
                <c:ptCount val="6"/>
                <c:pt idx="0">
                  <c:v>Very high</c:v>
                </c:pt>
                <c:pt idx="1">
                  <c:v>High</c:v>
                </c:pt>
                <c:pt idx="2">
                  <c:v>Medium-high</c:v>
                </c:pt>
                <c:pt idx="3">
                  <c:v>Medium</c:v>
                </c:pt>
                <c:pt idx="4">
                  <c:v>Low-medium</c:v>
                </c:pt>
                <c:pt idx="5">
                  <c:v>Low</c:v>
                </c:pt>
              </c:strCache>
            </c:strRef>
          </c:cat>
          <c:val>
            <c:numRef>
              <c:f>analysis_pivot!$R$44:$R$49</c:f>
              <c:numCache>
                <c:formatCode>0%</c:formatCode>
                <c:ptCount val="6"/>
                <c:pt idx="0">
                  <c:v>0.50555555555555554</c:v>
                </c:pt>
                <c:pt idx="1">
                  <c:v>0.37653846153846149</c:v>
                </c:pt>
                <c:pt idx="2">
                  <c:v>0.2266666666666666</c:v>
                </c:pt>
                <c:pt idx="3">
                  <c:v>0.1990909090909091</c:v>
                </c:pt>
                <c:pt idx="4">
                  <c:v>0.155</c:v>
                </c:pt>
                <c:pt idx="5">
                  <c:v>0.12</c:v>
                </c:pt>
              </c:numCache>
            </c:numRef>
          </c:val>
          <c:extLst>
            <c:ext xmlns:c16="http://schemas.microsoft.com/office/drawing/2014/chart" uri="{C3380CC4-5D6E-409C-BE32-E72D297353CC}">
              <c16:uniqueId val="{00000000-BF1C-4739-8F4A-349CAD309C30}"/>
            </c:ext>
          </c:extLst>
        </c:ser>
        <c:dLbls>
          <c:dLblPos val="outEnd"/>
          <c:showLegendKey val="0"/>
          <c:showVal val="1"/>
          <c:showCatName val="0"/>
          <c:showSerName val="0"/>
          <c:showPercent val="0"/>
          <c:showBubbleSize val="0"/>
        </c:dLbls>
        <c:gapWidth val="219"/>
        <c:overlap val="-27"/>
        <c:axId val="580973279"/>
        <c:axId val="580972319"/>
      </c:barChart>
      <c:catAx>
        <c:axId val="5809732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580972319"/>
        <c:crosses val="autoZero"/>
        <c:auto val="1"/>
        <c:lblAlgn val="ctr"/>
        <c:lblOffset val="100"/>
        <c:noMultiLvlLbl val="0"/>
      </c:catAx>
      <c:valAx>
        <c:axId val="580972319"/>
        <c:scaling>
          <c:orientation val="minMax"/>
        </c:scaling>
        <c:delete val="1"/>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Average "Yes" Vote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5809732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Primary Color Groups in the Analyzed Vogue Sample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3081963879982308E-2"/>
          <c:y val="0.17590298975760738"/>
          <c:w val="0.9669180361200177"/>
          <c:h val="0.72507498324842323"/>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2F2F36"/>
              </a:solidFill>
              <a:ln>
                <a:noFill/>
              </a:ln>
              <a:effectLst/>
            </c:spPr>
            <c:extLst>
              <c:ext xmlns:c16="http://schemas.microsoft.com/office/drawing/2014/chart" uri="{C3380CC4-5D6E-409C-BE32-E72D297353CC}">
                <c16:uniqueId val="{00000001-4C6D-4978-B6B7-EEE26E1EA1BF}"/>
              </c:ext>
            </c:extLst>
          </c:dPt>
          <c:dPt>
            <c:idx val="1"/>
            <c:invertIfNegative val="0"/>
            <c:bubble3D val="0"/>
            <c:spPr>
              <a:solidFill>
                <a:srgbClr val="F5F3EE"/>
              </a:solidFill>
              <a:ln>
                <a:noFill/>
              </a:ln>
              <a:effectLst/>
            </c:spPr>
            <c:extLst>
              <c:ext xmlns:c16="http://schemas.microsoft.com/office/drawing/2014/chart" uri="{C3380CC4-5D6E-409C-BE32-E72D297353CC}">
                <c16:uniqueId val="{00000003-4C6D-4978-B6B7-EEE26E1EA1BF}"/>
              </c:ext>
            </c:extLst>
          </c:dPt>
          <c:dPt>
            <c:idx val="2"/>
            <c:invertIfNegative val="0"/>
            <c:bubble3D val="0"/>
            <c:spPr>
              <a:solidFill>
                <a:srgbClr val="D89AA6"/>
              </a:solidFill>
              <a:ln>
                <a:noFill/>
              </a:ln>
              <a:effectLst/>
            </c:spPr>
            <c:extLst>
              <c:ext xmlns:c16="http://schemas.microsoft.com/office/drawing/2014/chart" uri="{C3380CC4-5D6E-409C-BE32-E72D297353CC}">
                <c16:uniqueId val="{00000005-4C6D-4978-B6B7-EEE26E1EA1BF}"/>
              </c:ext>
            </c:extLst>
          </c:dPt>
          <c:dPt>
            <c:idx val="3"/>
            <c:invertIfNegative val="0"/>
            <c:bubble3D val="0"/>
            <c:spPr>
              <a:solidFill>
                <a:srgbClr val="8B7AA8"/>
              </a:solidFill>
              <a:ln>
                <a:noFill/>
              </a:ln>
              <a:effectLst/>
            </c:spPr>
            <c:extLst>
              <c:ext xmlns:c16="http://schemas.microsoft.com/office/drawing/2014/chart" uri="{C3380CC4-5D6E-409C-BE32-E72D297353CC}">
                <c16:uniqueId val="{00000007-4C6D-4978-B6B7-EEE26E1EA1BF}"/>
              </c:ext>
            </c:extLst>
          </c:dPt>
          <c:dPt>
            <c:idx val="4"/>
            <c:invertIfNegative val="0"/>
            <c:bubble3D val="0"/>
            <c:spPr>
              <a:solidFill>
                <a:srgbClr val="5C7FA3"/>
              </a:solidFill>
              <a:ln>
                <a:noFill/>
              </a:ln>
              <a:effectLst/>
            </c:spPr>
            <c:extLst>
              <c:ext xmlns:c16="http://schemas.microsoft.com/office/drawing/2014/chart" uri="{C3380CC4-5D6E-409C-BE32-E72D297353CC}">
                <c16:uniqueId val="{00000009-4C6D-4978-B6B7-EEE26E1EA1BF}"/>
              </c:ext>
            </c:extLst>
          </c:dPt>
          <c:dPt>
            <c:idx val="5"/>
            <c:invertIfNegative val="0"/>
            <c:bubble3D val="0"/>
            <c:spPr>
              <a:solidFill>
                <a:srgbClr val="C8A96B"/>
              </a:solidFill>
              <a:ln>
                <a:noFill/>
              </a:ln>
              <a:effectLst/>
            </c:spPr>
            <c:extLst>
              <c:ext xmlns:c16="http://schemas.microsoft.com/office/drawing/2014/chart" uri="{C3380CC4-5D6E-409C-BE32-E72D297353CC}">
                <c16:uniqueId val="{0000000B-4C6D-4978-B6B7-EEE26E1EA1BF}"/>
              </c:ext>
            </c:extLst>
          </c:dPt>
          <c:dPt>
            <c:idx val="6"/>
            <c:invertIfNegative val="0"/>
            <c:bubble3D val="0"/>
            <c:spPr>
              <a:solidFill>
                <a:srgbClr val="C9A88F"/>
              </a:solidFill>
              <a:ln>
                <a:noFill/>
              </a:ln>
              <a:effectLst/>
            </c:spPr>
            <c:extLst>
              <c:ext xmlns:c16="http://schemas.microsoft.com/office/drawing/2014/chart" uri="{C3380CC4-5D6E-409C-BE32-E72D297353CC}">
                <c16:uniqueId val="{0000000D-4C6D-4978-B6B7-EEE26E1EA1BF}"/>
              </c:ext>
            </c:extLst>
          </c:dPt>
          <c:dPt>
            <c:idx val="7"/>
            <c:invertIfNegative val="0"/>
            <c:bubble3D val="0"/>
            <c:spPr>
              <a:solidFill>
                <a:srgbClr val="B8615B"/>
              </a:solidFill>
              <a:ln>
                <a:noFill/>
              </a:ln>
              <a:effectLst/>
            </c:spPr>
            <c:extLst>
              <c:ext xmlns:c16="http://schemas.microsoft.com/office/drawing/2014/chart" uri="{C3380CC4-5D6E-409C-BE32-E72D297353CC}">
                <c16:uniqueId val="{0000000F-4C6D-4978-B6B7-EEE26E1EA1BF}"/>
              </c:ext>
            </c:extLst>
          </c:dPt>
          <c:dPt>
            <c:idx val="8"/>
            <c:invertIfNegative val="0"/>
            <c:bubble3D val="0"/>
            <c:spPr>
              <a:solidFill>
                <a:srgbClr val="A8ADB4"/>
              </a:solidFill>
              <a:ln>
                <a:noFill/>
              </a:ln>
              <a:effectLst/>
            </c:spPr>
            <c:extLst>
              <c:ext xmlns:c16="http://schemas.microsoft.com/office/drawing/2014/chart" uri="{C3380CC4-5D6E-409C-BE32-E72D297353CC}">
                <c16:uniqueId val="{00000011-4C6D-4978-B6B7-EEE26E1EA1BF}"/>
              </c:ext>
            </c:extLst>
          </c:dPt>
          <c:dPt>
            <c:idx val="9"/>
            <c:invertIfNegative val="0"/>
            <c:bubble3D val="0"/>
            <c:spPr>
              <a:solidFill>
                <a:srgbClr val="7E9B7A"/>
              </a:solidFill>
              <a:ln>
                <a:noFill/>
              </a:ln>
              <a:effectLst/>
            </c:spPr>
            <c:extLst>
              <c:ext xmlns:c16="http://schemas.microsoft.com/office/drawing/2014/chart" uri="{C3380CC4-5D6E-409C-BE32-E72D297353CC}">
                <c16:uniqueId val="{00000013-4C6D-4978-B6B7-EEE26E1EA1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analysis_pivot!$Q$65:$Q$74</c:f>
              <c:strCache>
                <c:ptCount val="10"/>
                <c:pt idx="0">
                  <c:v>Black</c:v>
                </c:pt>
                <c:pt idx="1">
                  <c:v>White</c:v>
                </c:pt>
                <c:pt idx="2">
                  <c:v>Pink</c:v>
                </c:pt>
                <c:pt idx="3">
                  <c:v>Multicolor</c:v>
                </c:pt>
                <c:pt idx="4">
                  <c:v>Blue</c:v>
                </c:pt>
                <c:pt idx="5">
                  <c:v>Gold</c:v>
                </c:pt>
                <c:pt idx="6">
                  <c:v>Nude</c:v>
                </c:pt>
                <c:pt idx="7">
                  <c:v>Red</c:v>
                </c:pt>
                <c:pt idx="8">
                  <c:v>Silver</c:v>
                </c:pt>
                <c:pt idx="9">
                  <c:v>Green</c:v>
                </c:pt>
              </c:strCache>
            </c:strRef>
          </c:cat>
          <c:val>
            <c:numRef>
              <c:f>analysis_pivot!$R$65:$R$74</c:f>
              <c:numCache>
                <c:formatCode>General</c:formatCode>
                <c:ptCount val="10"/>
                <c:pt idx="0">
                  <c:v>26</c:v>
                </c:pt>
                <c:pt idx="1">
                  <c:v>8</c:v>
                </c:pt>
                <c:pt idx="2">
                  <c:v>5</c:v>
                </c:pt>
                <c:pt idx="3">
                  <c:v>5</c:v>
                </c:pt>
                <c:pt idx="4">
                  <c:v>4</c:v>
                </c:pt>
                <c:pt idx="5">
                  <c:v>3</c:v>
                </c:pt>
                <c:pt idx="6">
                  <c:v>3</c:v>
                </c:pt>
                <c:pt idx="7">
                  <c:v>3</c:v>
                </c:pt>
                <c:pt idx="8">
                  <c:v>3</c:v>
                </c:pt>
                <c:pt idx="9">
                  <c:v>2</c:v>
                </c:pt>
              </c:numCache>
            </c:numRef>
          </c:val>
          <c:extLst>
            <c:ext xmlns:c16="http://schemas.microsoft.com/office/drawing/2014/chart" uri="{C3380CC4-5D6E-409C-BE32-E72D297353CC}">
              <c16:uniqueId val="{00000014-4C6D-4978-B6B7-EEE26E1EA1BF}"/>
            </c:ext>
          </c:extLst>
        </c:ser>
        <c:dLbls>
          <c:dLblPos val="outEnd"/>
          <c:showLegendKey val="0"/>
          <c:showVal val="1"/>
          <c:showCatName val="0"/>
          <c:showSerName val="0"/>
          <c:showPercent val="0"/>
          <c:showBubbleSize val="0"/>
        </c:dLbls>
        <c:gapWidth val="219"/>
        <c:overlap val="-27"/>
        <c:axId val="601398879"/>
        <c:axId val="601393599"/>
      </c:barChart>
      <c:catAx>
        <c:axId val="60139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Color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3599"/>
        <c:crosses val="autoZero"/>
        <c:auto val="1"/>
        <c:lblAlgn val="ctr"/>
        <c:lblOffset val="100"/>
        <c:noMultiLvlLbl val="0"/>
      </c:catAx>
      <c:valAx>
        <c:axId val="60139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Number of Looks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0139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22</xdr:col>
      <xdr:colOff>596080</xdr:colOff>
      <xdr:row>15</xdr:row>
      <xdr:rowOff>170835</xdr:rowOff>
    </xdr:from>
    <xdr:to>
      <xdr:col>32</xdr:col>
      <xdr:colOff>122903</xdr:colOff>
      <xdr:row>36</xdr:row>
      <xdr:rowOff>147483</xdr:rowOff>
    </xdr:to>
    <xdr:graphicFrame macro="">
      <xdr:nvGraphicFramePr>
        <xdr:cNvPr id="5" name="Chart 4">
          <a:extLst>
            <a:ext uri="{FF2B5EF4-FFF2-40B4-BE49-F238E27FC236}">
              <a16:creationId xmlns:a16="http://schemas.microsoft.com/office/drawing/2014/main" id="{E1DD1B66-6772-AA6C-5A59-F820B7D1B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606894</xdr:colOff>
      <xdr:row>38</xdr:row>
      <xdr:rowOff>172064</xdr:rowOff>
    </xdr:from>
    <xdr:to>
      <xdr:col>32</xdr:col>
      <xdr:colOff>245805</xdr:colOff>
      <xdr:row>58</xdr:row>
      <xdr:rowOff>110613</xdr:rowOff>
    </xdr:to>
    <xdr:graphicFrame macro="">
      <xdr:nvGraphicFramePr>
        <xdr:cNvPr id="6" name="Chart 5">
          <a:extLst>
            <a:ext uri="{FF2B5EF4-FFF2-40B4-BE49-F238E27FC236}">
              <a16:creationId xmlns:a16="http://schemas.microsoft.com/office/drawing/2014/main" id="{B9D316A0-2B42-3302-0E20-36F395642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12290</xdr:colOff>
      <xdr:row>61</xdr:row>
      <xdr:rowOff>98321</xdr:rowOff>
    </xdr:from>
    <xdr:to>
      <xdr:col>32</xdr:col>
      <xdr:colOff>319548</xdr:colOff>
      <xdr:row>93</xdr:row>
      <xdr:rowOff>159773</xdr:rowOff>
    </xdr:to>
    <xdr:graphicFrame macro="">
      <xdr:nvGraphicFramePr>
        <xdr:cNvPr id="9" name="Chart 8">
          <a:extLst>
            <a:ext uri="{FF2B5EF4-FFF2-40B4-BE49-F238E27FC236}">
              <a16:creationId xmlns:a16="http://schemas.microsoft.com/office/drawing/2014/main" id="{1137DD1F-5086-6793-D702-2553DD035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98322</xdr:colOff>
      <xdr:row>63</xdr:row>
      <xdr:rowOff>98323</xdr:rowOff>
    </xdr:from>
    <xdr:to>
      <xdr:col>32</xdr:col>
      <xdr:colOff>282677</xdr:colOff>
      <xdr:row>64</xdr:row>
      <xdr:rowOff>135193</xdr:rowOff>
    </xdr:to>
    <xdr:sp macro="" textlink="">
      <xdr:nvSpPr>
        <xdr:cNvPr id="10" name="TextBox 9">
          <a:extLst>
            <a:ext uri="{FF2B5EF4-FFF2-40B4-BE49-F238E27FC236}">
              <a16:creationId xmlns:a16="http://schemas.microsoft.com/office/drawing/2014/main" id="{08E2EB91-69A6-863C-C300-090ED9F1B611}"/>
            </a:ext>
          </a:extLst>
        </xdr:cNvPr>
        <xdr:cNvSpPr txBox="1"/>
      </xdr:nvSpPr>
      <xdr:spPr>
        <a:xfrm>
          <a:off x="30713516" y="11712678"/>
          <a:ext cx="5715000" cy="22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bg2">
                  <a:lumMod val="25000"/>
                </a:schemeClr>
              </a:solidFill>
            </a:rPr>
            <a:t>n = 68 analyzed Vogue looks</a:t>
          </a:r>
        </a:p>
      </xdr:txBody>
    </xdr:sp>
    <xdr:clientData/>
  </xdr:twoCellAnchor>
  <xdr:twoCellAnchor>
    <xdr:from>
      <xdr:col>22</xdr:col>
      <xdr:colOff>608372</xdr:colOff>
      <xdr:row>96</xdr:row>
      <xdr:rowOff>159772</xdr:rowOff>
    </xdr:from>
    <xdr:to>
      <xdr:col>32</xdr:col>
      <xdr:colOff>356418</xdr:colOff>
      <xdr:row>117</xdr:row>
      <xdr:rowOff>49161</xdr:rowOff>
    </xdr:to>
    <xdr:graphicFrame macro="">
      <xdr:nvGraphicFramePr>
        <xdr:cNvPr id="12" name="Chart 11">
          <a:extLst>
            <a:ext uri="{FF2B5EF4-FFF2-40B4-BE49-F238E27FC236}">
              <a16:creationId xmlns:a16="http://schemas.microsoft.com/office/drawing/2014/main" id="{47D8AE22-8620-CEFB-4F37-A91B23DDC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127818</xdr:colOff>
      <xdr:row>98</xdr:row>
      <xdr:rowOff>78659</xdr:rowOff>
    </xdr:from>
    <xdr:to>
      <xdr:col>32</xdr:col>
      <xdr:colOff>312173</xdr:colOff>
      <xdr:row>99</xdr:row>
      <xdr:rowOff>115529</xdr:rowOff>
    </xdr:to>
    <xdr:sp macro="" textlink="">
      <xdr:nvSpPr>
        <xdr:cNvPr id="13" name="TextBox 12">
          <a:extLst>
            <a:ext uri="{FF2B5EF4-FFF2-40B4-BE49-F238E27FC236}">
              <a16:creationId xmlns:a16="http://schemas.microsoft.com/office/drawing/2014/main" id="{D1678962-CCA4-46A5-8E20-17A74517522B}"/>
            </a:ext>
          </a:extLst>
        </xdr:cNvPr>
        <xdr:cNvSpPr txBox="1"/>
      </xdr:nvSpPr>
      <xdr:spPr>
        <a:xfrm>
          <a:off x="30743012" y="18145433"/>
          <a:ext cx="5715000" cy="22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bg2">
                  <a:lumMod val="25000"/>
                </a:schemeClr>
              </a:solidFill>
            </a:rPr>
            <a:t>n = 68 analyzed Vogue looks</a:t>
          </a:r>
        </a:p>
      </xdr:txBody>
    </xdr:sp>
    <xdr:clientData/>
  </xdr:twoCellAnchor>
  <xdr:twoCellAnchor>
    <xdr:from>
      <xdr:col>17</xdr:col>
      <xdr:colOff>1210594</xdr:colOff>
      <xdr:row>76</xdr:row>
      <xdr:rowOff>11061</xdr:rowOff>
    </xdr:from>
    <xdr:to>
      <xdr:col>22</xdr:col>
      <xdr:colOff>24578</xdr:colOff>
      <xdr:row>97</xdr:row>
      <xdr:rowOff>110613</xdr:rowOff>
    </xdr:to>
    <xdr:graphicFrame macro="">
      <xdr:nvGraphicFramePr>
        <xdr:cNvPr id="14" name="Chart 13">
          <a:extLst>
            <a:ext uri="{FF2B5EF4-FFF2-40B4-BE49-F238E27FC236}">
              <a16:creationId xmlns:a16="http://schemas.microsoft.com/office/drawing/2014/main" id="{4BA0E8AD-8D7F-B4AF-F656-A60D46308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xdr:rowOff>
    </xdr:from>
    <xdr:to>
      <xdr:col>4</xdr:col>
      <xdr:colOff>2758440</xdr:colOff>
      <xdr:row>21</xdr:row>
      <xdr:rowOff>167641</xdr:rowOff>
    </xdr:to>
    <xdr:graphicFrame macro="">
      <xdr:nvGraphicFramePr>
        <xdr:cNvPr id="3" name="Chart 2">
          <a:extLst>
            <a:ext uri="{FF2B5EF4-FFF2-40B4-BE49-F238E27FC236}">
              <a16:creationId xmlns:a16="http://schemas.microsoft.com/office/drawing/2014/main" id="{CF7E60FA-35CE-4281-B750-EB09DE64C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44</xdr:row>
      <xdr:rowOff>0</xdr:rowOff>
    </xdr:from>
    <xdr:to>
      <xdr:col>4</xdr:col>
      <xdr:colOff>2743201</xdr:colOff>
      <xdr:row>76</xdr:row>
      <xdr:rowOff>121920</xdr:rowOff>
    </xdr:to>
    <xdr:graphicFrame macro="">
      <xdr:nvGraphicFramePr>
        <xdr:cNvPr id="8" name="Chart 7">
          <a:extLst>
            <a:ext uri="{FF2B5EF4-FFF2-40B4-BE49-F238E27FC236}">
              <a16:creationId xmlns:a16="http://schemas.microsoft.com/office/drawing/2014/main" id="{B89D8340-D04D-419C-91B2-F84B3AC8A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23</xdr:row>
      <xdr:rowOff>0</xdr:rowOff>
    </xdr:from>
    <xdr:to>
      <xdr:col>4</xdr:col>
      <xdr:colOff>2750821</xdr:colOff>
      <xdr:row>42</xdr:row>
      <xdr:rowOff>137160</xdr:rowOff>
    </xdr:to>
    <xdr:graphicFrame macro="">
      <xdr:nvGraphicFramePr>
        <xdr:cNvPr id="9" name="Chart 8">
          <a:extLst>
            <a:ext uri="{FF2B5EF4-FFF2-40B4-BE49-F238E27FC236}">
              <a16:creationId xmlns:a16="http://schemas.microsoft.com/office/drawing/2014/main" id="{574A3DC6-86DA-4BC2-B887-F6FDEF7E6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77</xdr:row>
      <xdr:rowOff>15240</xdr:rowOff>
    </xdr:from>
    <xdr:to>
      <xdr:col>4</xdr:col>
      <xdr:colOff>2753768</xdr:colOff>
      <xdr:row>95</xdr:row>
      <xdr:rowOff>80380</xdr:rowOff>
    </xdr:to>
    <xdr:graphicFrame macro="">
      <xdr:nvGraphicFramePr>
        <xdr:cNvPr id="10" name="Chart 9">
          <a:extLst>
            <a:ext uri="{FF2B5EF4-FFF2-40B4-BE49-F238E27FC236}">
              <a16:creationId xmlns:a16="http://schemas.microsoft.com/office/drawing/2014/main" id="{2DAD9FF1-7505-4B3D-810F-B0473EB1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0.01262</cdr:x>
      <cdr:y>0.06221</cdr:y>
    </cdr:from>
    <cdr:to>
      <cdr:x>0.99156</cdr:x>
      <cdr:y>0.09933</cdr:y>
    </cdr:to>
    <cdr:sp macro="" textlink="">
      <cdr:nvSpPr>
        <cdr:cNvPr id="2" name="TextBox 9">
          <a:extLst xmlns:a="http://schemas.openxmlformats.org/drawingml/2006/main">
            <a:ext uri="{FF2B5EF4-FFF2-40B4-BE49-F238E27FC236}">
              <a16:creationId xmlns:a16="http://schemas.microsoft.com/office/drawing/2014/main" id="{08E2EB91-69A6-863C-C300-090ED9F1B611}"/>
            </a:ext>
          </a:extLst>
        </cdr:cNvPr>
        <cdr:cNvSpPr txBox="1"/>
      </cdr:nvSpPr>
      <cdr:spPr>
        <a:xfrm xmlns:a="http://schemas.openxmlformats.org/drawingml/2006/main">
          <a:off x="73660" y="370840"/>
          <a:ext cx="5715000" cy="221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100">
              <a:solidFill>
                <a:schemeClr val="bg2">
                  <a:lumMod val="25000"/>
                </a:schemeClr>
              </a:solidFill>
            </a:rPr>
            <a:t>n = 68 analyzed Vogue looks</a:t>
          </a:r>
        </a:p>
      </cdr:txBody>
    </cdr:sp>
  </cdr:relSizeAnchor>
</c:userShapes>
</file>

<file path=xl/drawings/drawing4.xml><?xml version="1.0" encoding="utf-8"?>
<c:userShapes xmlns:c="http://schemas.openxmlformats.org/drawingml/2006/chart">
  <cdr:relSizeAnchor xmlns:cdr="http://schemas.openxmlformats.org/drawingml/2006/chartDrawing">
    <cdr:from>
      <cdr:x>0.00483</cdr:x>
      <cdr:y>0.07706</cdr:y>
    </cdr:from>
    <cdr:to>
      <cdr:x>0.99289</cdr:x>
      <cdr:y>0.13808</cdr:y>
    </cdr:to>
    <cdr:sp macro="" textlink="">
      <cdr:nvSpPr>
        <cdr:cNvPr id="2" name="TextBox 9">
          <a:extLst xmlns:a="http://schemas.openxmlformats.org/drawingml/2006/main">
            <a:ext uri="{FF2B5EF4-FFF2-40B4-BE49-F238E27FC236}">
              <a16:creationId xmlns:a16="http://schemas.microsoft.com/office/drawing/2014/main" id="{6CE68684-8523-CFCC-87B2-1B11BFFBF8A9}"/>
            </a:ext>
          </a:extLst>
        </cdr:cNvPr>
        <cdr:cNvSpPr txBox="1"/>
      </cdr:nvSpPr>
      <cdr:spPr>
        <a:xfrm xmlns:a="http://schemas.openxmlformats.org/drawingml/2006/main">
          <a:off x="27940" y="279400"/>
          <a:ext cx="5715000" cy="221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100">
              <a:solidFill>
                <a:schemeClr val="bg2">
                  <a:lumMod val="25000"/>
                </a:schemeClr>
              </a:solidFill>
            </a:rPr>
            <a:t>n = 68 analyzed Vogue looks</a:t>
          </a:r>
        </a:p>
      </cdr:txBody>
    </cdr:sp>
  </cdr:relSizeAnchor>
</c:userShapes>
</file>

<file path=xl/drawings/drawing5.xml><?xml version="1.0" encoding="utf-8"?>
<c:userShapes xmlns:c="http://schemas.openxmlformats.org/drawingml/2006/chart">
  <cdr:relSizeAnchor xmlns:cdr="http://schemas.openxmlformats.org/drawingml/2006/chartDrawing">
    <cdr:from>
      <cdr:x>0.01767</cdr:x>
      <cdr:y>0.07227</cdr:y>
    </cdr:from>
    <cdr:to>
      <cdr:x>0.98743</cdr:x>
      <cdr:y>0.13109</cdr:y>
    </cdr:to>
    <cdr:sp macro="" textlink="">
      <cdr:nvSpPr>
        <cdr:cNvPr id="2" name="TextBox 12">
          <a:extLst xmlns:a="http://schemas.openxmlformats.org/drawingml/2006/main">
            <a:ext uri="{FF2B5EF4-FFF2-40B4-BE49-F238E27FC236}">
              <a16:creationId xmlns:a16="http://schemas.microsoft.com/office/drawing/2014/main" id="{D1678962-CCA4-46A5-8E20-17A74517522B}"/>
            </a:ext>
          </a:extLst>
        </cdr:cNvPr>
        <cdr:cNvSpPr txBox="1"/>
      </cdr:nvSpPr>
      <cdr:spPr>
        <a:xfrm xmlns:a="http://schemas.openxmlformats.org/drawingml/2006/main">
          <a:off x="104140" y="271780"/>
          <a:ext cx="5715000" cy="221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100">
              <a:solidFill>
                <a:schemeClr val="bg2">
                  <a:lumMod val="25000"/>
                </a:schemeClr>
              </a:solidFill>
            </a:rPr>
            <a:t>n = 68 analyzed Vogue looks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na Kuncheva" refreshedDate="46148.423439467595" createdVersion="8" refreshedVersion="8" minRefreshableVersion="3" recordCount="28" xr:uid="{D736DEB6-AFA8-427F-8C3D-5E223A334EAE}">
  <cacheSource type="worksheet">
    <worksheetSource ref="B1:T29" sheet="dataset_metgala_26"/>
  </cacheSource>
  <cacheFields count="19">
    <cacheField name="Celebrity" numFmtId="0">
      <sharedItems/>
    </cacheField>
    <cacheField name="Designer" numFmtId="0">
      <sharedItems/>
    </cacheField>
    <cacheField name="Fashion house" numFmtId="0">
      <sharedItems/>
    </cacheField>
    <cacheField name="Gender presentation" numFmtId="0">
      <sharedItems/>
    </cacheField>
    <cacheField name="Primary color" numFmtId="0">
      <sharedItems/>
    </cacheField>
    <cacheField name="Secondary color" numFmtId="0">
      <sharedItems containsBlank="1"/>
    </cacheField>
    <cacheField name="Color group" numFmtId="0">
      <sharedItems/>
    </cacheField>
    <cacheField name="Silhouette" numFmtId="0">
      <sharedItems/>
    </cacheField>
    <cacheField name="Look category" numFmtId="0">
      <sharedItems/>
    </cacheField>
    <cacheField name="Material or texture" numFmtId="0">
      <sharedItems/>
    </cacheField>
    <cacheField name="Theme interpretation" numFmtId="0">
      <sharedItems/>
    </cacheField>
    <cacheField name="Theme fit" numFmtId="0">
      <sharedItems/>
    </cacheField>
    <cacheField name="Art reference" numFmtId="0">
      <sharedItems/>
    </cacheField>
    <cacheField name="Best dressed" numFmtId="0">
      <sharedItems/>
    </cacheField>
    <cacheField name="Public approval" numFmtId="0">
      <sharedItems count="4">
        <s v="Low"/>
        <s v="Medium-high"/>
        <s v="Medium"/>
        <s v="Very low"/>
      </sharedItems>
    </cacheField>
    <cacheField name="Vote Yes Percent" numFmtId="9">
      <sharedItems containsSemiMixedTypes="0" containsString="0" containsNumber="1" minValue="0.08" maxValue="0.67"/>
    </cacheField>
    <cacheField name="Media source" numFmtId="0">
      <sharedItems/>
    </cacheField>
    <cacheField name="Notes" numFmtId="0">
      <sharedItems longText="1"/>
    </cacheField>
    <cacheField name="Field19" caption="Field19"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na Kuncheva" refreshedDate="46148.427536342591" createdVersion="8" refreshedVersion="8" minRefreshableVersion="3" recordCount="68" xr:uid="{64885147-73CC-4B55-8A28-78F683303529}">
  <cacheSource type="worksheet">
    <worksheetSource ref="B1:S69" sheet="dataset_metgala_26"/>
  </cacheSource>
  <cacheFields count="18">
    <cacheField name="Celebrity" numFmtId="0">
      <sharedItems count="68">
        <s v="Rihanna"/>
        <s v="A$AP Rocky"/>
        <s v="Emma Chamberlain"/>
        <s v="Jeremy Pope"/>
        <s v="Gwendoline Christie"/>
        <s v="Beyoncé"/>
        <s v="Hailey Bieber"/>
        <s v="Ashley Graham"/>
        <s v="Jon Batiste"/>
        <s v="Chase Infiniti"/>
        <s v="Cara Delevingne"/>
        <s v="Nicole Kidman"/>
        <s v="Sinéad Burke"/>
        <s v="Sarah Pidgeon"/>
        <s v="Rauw Alejandro"/>
        <s v="Venus Williams"/>
        <s v="Kim Kardashian"/>
        <s v="Angela Bassett"/>
        <s v="Lauren Wasser"/>
        <s v="Aariana Rose Philip"/>
        <s v="SZA"/>
        <s v="Zoë Kravitz"/>
        <s v="Liline Jacquemus"/>
        <s v="Simon Porte Jacquemus"/>
        <s v="Sabine Getty"/>
        <s v="Colman Domingo"/>
        <s v="Isha Ambani"/>
        <s v="Connor Storrie"/>
        <s v="Angel Reese"/>
        <s v="Laufey"/>
        <s v="Lindsey Vonn"/>
        <s v="Gigi Hadid"/>
        <s v="Ejae"/>
        <s v="Janelle Monáe"/>
        <s v="Lisa"/>
        <s v="Maya Hawke"/>
        <s v="Skepta"/>
        <s v="Yseult"/>
        <s v="Naomi Watts"/>
        <s v="Stevie Nicks"/>
        <s v="Julianne Moore"/>
        <s v="KUN"/>
        <s v="Jisoo"/>
        <s v="Kylie Jenner"/>
        <s v="Paloma Elsesser"/>
        <s v="Alex Consani"/>
        <s v="Sombr"/>
        <s v="Anne Hathaway"/>
        <s v="Sabrina Carpenter"/>
        <s v="Vittoria Ceretti"/>
        <s v="Misty Copeland"/>
        <s v="Babyface"/>
        <s v="Gracie Abrams"/>
        <s v="Adut Akech"/>
        <s v="Kendall Jenner"/>
        <s v="Cher"/>
        <s v="Anok Yai"/>
        <s v="Hoyeon"/>
        <s v="Madonna"/>
        <s v="Blake Lively"/>
        <s v="Damson Idris"/>
        <s v="Tschabalala Self"/>
        <s v="Bee Carrozzini"/>
        <s v="Ben Platt"/>
        <s v="Lauren Sánchez Bezos"/>
        <s v="Isla Johnston"/>
        <s v="Louisa Jacobson"/>
        <s v="Hunter Schafer"/>
      </sharedItems>
    </cacheField>
    <cacheField name="Designer" numFmtId="0">
      <sharedItems count="45">
        <s v="Glenn Martens"/>
        <s v="Matthieu Blazy"/>
        <s v="Miguel Castro Freitas"/>
        <s v="Vivienne Westwood"/>
        <s v="Giles Deacon"/>
        <s v="Olivier Rousteing"/>
        <s v="Anthony Vaccarello"/>
        <s v="Dimitra Petsa"/>
        <s v="Eli Russell Linnetz"/>
        <s v="Thom Browne"/>
        <s v="Ralph Lauren"/>
        <s v="Christian Siriano"/>
        <s v="Jack McCollough and Lazaro Hernandez"/>
        <s v="Giovanna Engelbert"/>
        <s v="Allen Jones / Whitaker Malem"/>
        <s v="Prabal Gurung"/>
        <s v="Hillary Tay"/>
        <s v="Emily Adams Bode Aujla"/>
        <s v="Simon Porte Jacquemus"/>
        <s v="Mohammed Ashi"/>
        <s v="Alessandro Michele"/>
        <s v="Gaurav Gupta"/>
        <s v="Joseph Altuzarra"/>
        <s v="Tory Burch"/>
        <s v="Miuccia Prada"/>
        <s v="Robert Wun"/>
        <s v="Harris Reed"/>
        <s v="Jonathan Anderson"/>
        <s v="John Galliano"/>
        <s v="Louise Trotter"/>
        <s v="Daniel Roseberry"/>
        <s v="Francesco Risso"/>
        <s v="Demna"/>
        <s v="Michael Kors"/>
        <s v="Wes Gordon"/>
        <s v="LaQuan Smith"/>
        <s v="Zac Posen"/>
        <s v="Daniel Lee"/>
        <s v="Pierpaolo Piccioli"/>
        <s v="Nicolas Ghesquière"/>
        <s v="Donatella Versace"/>
        <s v="Brandon Blackwood"/>
        <s v="Sarah Burton"/>
        <s v="Tanner Fletcher"/>
        <s v="Dilara Findikoglu"/>
      </sharedItems>
    </cacheField>
    <cacheField name="Fashion house" numFmtId="0">
      <sharedItems count="46">
        <s v="Maison Margiela"/>
        <s v="Chanel"/>
        <s v="Mugler"/>
        <s v="Vivienne Westwood"/>
        <s v="Giles Deacon"/>
        <s v="Balmain"/>
        <s v="Saint Laurent"/>
        <s v="Di Petsa"/>
        <s v="ERL"/>
        <s v="Thom Browne"/>
        <s v="Ralph Lauren"/>
        <s v="Christian Siriano"/>
        <s v="Loewe"/>
        <s v="Swarovski"/>
        <s v="Allen Jones / Whitaker Malem"/>
        <s v="Prabal Gurung"/>
        <s v="Collina Strada"/>
        <s v="Bode"/>
        <s v="Jacquemus"/>
        <s v="Ashi Studio"/>
        <s v="Valentino"/>
        <s v="Gaurav Gupta"/>
        <s v="Altuzarra"/>
        <s v="Tory Burch"/>
        <s v="Miu Miu"/>
        <s v="Robert Wun"/>
        <s v="Prada"/>
        <s v="Harris Reed"/>
        <s v="Dior"/>
        <s v="Zara "/>
        <s v="Bottega Veneta"/>
        <s v="Schiaparelli"/>
        <s v="Bureau of Imagination"/>
        <s v="Gucci"/>
        <s v="Michael Kors Collection"/>
        <s v="Carolina Herrera"/>
        <s v="LaQuan Smith"/>
        <s v="Gap"/>
        <s v="Burberry"/>
        <s v="Balenciaga"/>
        <s v="Louis Vuitton"/>
        <s v="Versace"/>
        <s v="Brandon Blackwood"/>
        <s v="Givenchy"/>
        <s v="Tanner Fletcher"/>
        <s v="Dilara Findikoglu"/>
      </sharedItems>
    </cacheField>
    <cacheField name="Gender presentation" numFmtId="0">
      <sharedItems/>
    </cacheField>
    <cacheField name="Primary color" numFmtId="0">
      <sharedItems/>
    </cacheField>
    <cacheField name="Secondary color" numFmtId="0">
      <sharedItems containsBlank="1"/>
    </cacheField>
    <cacheField name="Color group" numFmtId="0">
      <sharedItems count="15">
        <s v="Grey"/>
        <s v="Pink"/>
        <s v="Multicolor"/>
        <s v="Black"/>
        <s v="Red"/>
        <s v="Silver"/>
        <s v="Blue"/>
        <s v="Nude"/>
        <s v="White"/>
        <s v="Chartreuse"/>
        <s v="Orange"/>
        <s v="Gold"/>
        <s v="Ivory"/>
        <s v="Green"/>
        <s v="Brown"/>
      </sharedItems>
    </cacheField>
    <cacheField name="Silhouette" numFmtId="0">
      <sharedItems/>
    </cacheField>
    <cacheField name="Look category" numFmtId="0">
      <sharedItems count="67">
        <s v="Sculptural gown"/>
        <s v="Tailored menswear / coat look"/>
        <s v="Hand-painted gown / artistic gown"/>
        <s v="Tailored menswear / corset jacket look"/>
        <s v="Theatrical gown / costume-inspired gown"/>
        <s v="Naked dress / skeletal gown / couture gown"/>
        <s v="Sculptural gown / goddess-inspired gown"/>
        <s v="Wet-look gown / second-skin gown"/>
        <s v="Oversized menswear / padded coat look"/>
        <s v="Trompe-l’œil gown / artistic gown"/>
        <s v="Evening gown / sheer panel gown"/>
        <s v="Sequin gown / feather-trimmed gown"/>
        <s v="Corset gown / dramatic black gown"/>
        <s v="Minimalist two-piece gown / sculptural bandeau look"/>
        <s v="Tailored menswear / wet-look shirt"/>
        <s v="Crystal gown / jewelry-focused gown"/>
        <s v="Sculptural breastplate / body armour look"/>
        <s v="Pink couture gown / fringe gown"/>
        <s v="Metallic suit / tailored menswear-inspired look"/>
        <s v="Draped evening gown / adaptive couture look"/>
        <s v="Vintage-fabric gown / fairy-tale couture gown"/>
        <s v="Sheer lace gown / dark bridal look"/>
        <s v="Coordinated white tailoring / family duo look"/>
        <s v="Illusion gown / art-inspired gown"/>
        <s v="Color-blocked tailored look / harlequin-inspired menswear"/>
        <s v="Sculptural sari / heritage couture look"/>
        <s v="Gender-fluid tailoring / halter menswear look"/>
        <s v="Draped gown / romantic couture gown"/>
        <s v="Minimalist sequin gown / musical-instrument-inspired gown"/>
        <s v="Trompe-l’œil marble gown / classical sculpture gown"/>
        <s v="Naked dress / archival-inspired gown"/>
        <s v="Crystal gown / jewelry-body gown"/>
        <s v="Eco-futurist gown / living sculpture look"/>
        <s v="Sculptural gown / illusion veil look"/>
        <s v="Retro Americana dress / rockabilly-inspired gown"/>
        <s v="Tattoo-embroidered suit / graphic tailoring"/>
        <s v="Sculptural couture gown / body-bodice look"/>
        <s v="Floral gown / painterly garden gown"/>
        <s v="Witchy romantic gown / steampunk-inspired look"/>
        <s v="Minimalist evening gown / classic black gown"/>
        <s v="Anatomical suit / conceptual tailoring"/>
        <s v="Floral embroidered gown / garden gown"/>
        <s v="Anatomical corset gown / surrealist couture gown"/>
        <s v="Historical upcycled gown / archival collage gown"/>
        <s v="Reveal gown / feathered couture look"/>
        <s v="Crystal cape / gothic romantic tailoring"/>
        <s v="Graphic gown / illustrated art gown"/>
        <s v="Film-inspired gown / cinematic sheer dress"/>
        <s v="Minimal sheer gown / body-framing dress"/>
        <s v="Ballet-inspired gown / ballerina look"/>
        <s v="Embellished tailoring / crystal suit"/>
        <s v="Embroidered couture gown / romantic Chanel gown"/>
        <s v="Maternity couture gown / pregnant body look"/>
        <s v="Grecian sculptural gown"/>
        <s v="Gothic rock gown / leather evening look"/>
        <s v="Sculptural black gown / hooded couture gown"/>
        <s v="Leather couture gown / cage-structured look"/>
        <s v="Gothic bridal / theatrical veil look"/>
        <s v="Archival romantic gown / Rococo-inspired gown"/>
        <s v="Leather menswear / oversized coat look"/>
        <s v="Sculptural mini gown / ballerina-inspired look"/>
        <s v="Floral embroidered gown / fringe gown"/>
        <s v="Painted suit / illustrated tailoring"/>
        <s v="Classic evening gown / painting-inspired gown"/>
        <s v="Minimal column dress"/>
        <s v="Chainmail-inspired dress / medieval couture look"/>
        <s v="Painting-inspired gown / archival art gown"/>
      </sharedItems>
    </cacheField>
    <cacheField name="Material or texture" numFmtId="0">
      <sharedItems/>
    </cacheField>
    <cacheField name="Theme interpretation" numFmtId="0">
      <sharedItems count="67">
        <s v="Sculptural"/>
        <s v="Tailoring as art "/>
        <s v="Painting-inspired / Archival reference"/>
        <s v="Historical / Corsetry as art"/>
        <s v="Theatrical / Surrealist / Performance art"/>
        <s v="Anatomical body / Body as art"/>
        <s v="Sculptural / Classical body"/>
        <s v="Anatomical body / Second skin / Sculptural body"/>
        <s v="Classical body / Deconstructed tailoring"/>
        <s v="Classical body / Painting-inspired / Trompe-l’œil"/>
        <s v="Historical fashion reference / Minimalist elegance"/>
        <s v="Glamour / Craftsmanship as art"/>
        <s v="Body as art / Inclusive body representation"/>
        <s v="Minimalist art / Sculptural simplicity"/>
        <s v="Wet-look / Minimalist tailoring"/>
        <s v="Portrait-inspired / Body as art / Personal symbolism"/>
        <s v="Sculptural / Anatomical body / Body armour"/>
        <s v="Painting-inspired / Black art history"/>
        <s v="Classical body / Goddess-inspired tailoring"/>
        <s v="Body as art / Inclusive body representation / 1930s glamour"/>
        <s v="Craftsmanship as art / Nature-inspired / Historical reference"/>
        <s v="Dark bridal / Historical fashion reference / Lace craftsmanship"/>
        <s v="Minimalist art / Personal storytelling"/>
        <s v="Body as art / Illusion / Conceptual fashion"/>
        <s v="Costume art / Harlequin / Pattern as art"/>
        <s v="Heritage craftsmanship / Sculptural / Body as art"/>
        <s v="Gender-fluid fashion / Drapery as art / Tailoring"/>
        <s v="Romantic painting-inspired / Drapery as art"/>
        <s v="Music as art / Sculptural simplicity"/>
        <s v="Classical body / Trompe-l’œil / Sculpture-inspired"/>
        <s v="Archival reference / Body as art / Illusion"/>
        <s v="Heritage portrait / Body as jewel / Personal symbolism"/>
        <s v="Nature vs technology / Eco-futurism / Living sculpture"/>
        <s v="Body as art / Thai dance / Sculptural illusion"/>
        <s v="Americana / Retro fashion reference"/>
        <s v="Body art / Personal symbolism / Tailoring as canvas"/>
        <s v="Anatomical body / Sculptural / Body as art"/>
        <s v="Floral/Nature / Painting-inspired"/>
        <s v="Historical / Theatrical / Witchy romantic"/>
        <s v="Minimalist elegance / Classic glamour"/>
        <s v="Anatomical body / Vital body / Circulatory system"/>
        <s v="Painting-inspired / Floral nature / Impressionism"/>
        <s v="Anatomical body / Surrealism / Body as art"/>
        <s v="Historical fashion / Textile collage / Craftsmanship as art"/>
        <s v="Body as art / Theatrical reveal"/>
        <s v="Gothic romantic / Costume art / Decorative body"/>
        <s v="Poetry-inspired / Illustration as fashion / Art collaboration"/>
        <s v="Film as art / Archival cinema reference"/>
        <s v="Body as canvas / Minimalist drapery"/>
        <s v="Dance as art / Personal artistic identity"/>
        <s v="Tailoring as art / Ornamentation"/>
        <s v="Craftsmanship as art / Jewelry-body gown"/>
        <s v="Pregnant body / Body as art / Floral symbolism"/>
        <s v="Classical body / Drapery as art"/>
        <s v="Archival celebrity reference / Rock glamour"/>
        <s v="Sculptural / Black Madonna / Body as icon"/>
        <s v="Wearable art / Sculptural / Floral armour"/>
        <s v="Performance art / Gothic iconography / Theatrical"/>
        <s v="Historical painting-inspired / Rococo / Archival fashion"/>
        <s v="Minimal tailoring / Leather as texture"/>
        <s v="Dance as art / Floral sculpture"/>
        <s v="Craftsmanship as art / Floral embroidery"/>
        <s v="Painting-inspired / Illustration as fashion"/>
        <s v="Painting-inspired / Old Hollywood glamour"/>
        <s v="Minimalist art / Subtle texture"/>
        <s v="Medieval / Armour as art / Sculptural body"/>
        <s v="Painting-inspired / Archival reference / Romantic art"/>
      </sharedItems>
    </cacheField>
    <cacheField name="Theme fit" numFmtId="0">
      <sharedItems count="6">
        <s v="High"/>
        <s v="Medium"/>
        <s v="Medium-high"/>
        <s v="Low-medium"/>
        <s v="Very high"/>
        <s v="Low"/>
      </sharedItems>
    </cacheField>
    <cacheField name="Art reference" numFmtId="0">
      <sharedItems/>
    </cacheField>
    <cacheField name="Best dressed" numFmtId="0">
      <sharedItems/>
    </cacheField>
    <cacheField name="Public approval" numFmtId="0">
      <sharedItems/>
    </cacheField>
    <cacheField name="Vote Yes Percent" numFmtId="9">
      <sharedItems containsSemiMixedTypes="0" containsString="0" containsNumber="1" minValue="7.0000000000000007E-2" maxValue="0.69" count="42">
        <n v="0.36"/>
        <n v="0.67"/>
        <n v="0.34"/>
        <n v="0.52"/>
        <n v="0.33"/>
        <n v="0.1"/>
        <n v="0.18"/>
        <n v="0.55000000000000004"/>
        <n v="0.22"/>
        <n v="0.24"/>
        <n v="0.21"/>
        <n v="0.08"/>
        <n v="0.12"/>
        <n v="0.15"/>
        <n v="0.17"/>
        <n v="0.31"/>
        <n v="0.14000000000000001"/>
        <n v="0.49"/>
        <n v="0.48"/>
        <n v="0.26"/>
        <n v="0.19"/>
        <n v="0.45"/>
        <n v="0.42"/>
        <n v="0.69"/>
        <n v="0.23"/>
        <n v="0.32"/>
        <n v="0.16"/>
        <n v="0.68"/>
        <n v="0.65"/>
        <n v="0.3"/>
        <n v="0.53"/>
        <n v="0.62"/>
        <n v="0.11"/>
        <n v="0.5"/>
        <n v="0.43"/>
        <n v="0.41"/>
        <n v="0.59"/>
        <n v="0.44"/>
        <n v="7.0000000000000007E-2"/>
        <n v="0.28000000000000003"/>
        <n v="0.27"/>
        <n v="0.47"/>
      </sharedItems>
    </cacheField>
    <cacheField name="Media source" numFmtId="0">
      <sharedItems/>
    </cacheField>
    <cacheField name="Not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Rihanna"/>
    <s v="Glenn Martens"/>
    <s v="Maison Margiela"/>
    <s v="Female"/>
    <s v="Metallic grey"/>
    <s v="Charcoal"/>
    <s v="Grey"/>
    <s v="Sculptural column"/>
    <s v="Sculptural gown"/>
    <s v="Duchess silk, recycled metal threads, crystal beads, antique jewels, chains, heavy embroidery"/>
    <s v="Sculptural"/>
    <s v="High"/>
    <s v="Medieval Flemish architecture / Flanders, Belgium"/>
    <s v="No"/>
    <x v="0"/>
    <n v="0.36"/>
    <s v="Vogue"/>
    <s v="Custom sculptural Maison Margiela gown by Glenn Martens, inspired by medieval Flemish architecture. The metallic cocoon-like structure makes the body look like an architectural sculpture."/>
    <m/>
  </r>
  <r>
    <s v="A$AP Rocky"/>
    <s v="Matthieu Blazy"/>
    <s v="Chanel"/>
    <s v="Male"/>
    <s v="Pink"/>
    <s v="Black / white"/>
    <s v="Pink"/>
    <s v="Tailored long coat"/>
    <s v="Tailored menswear / coat look"/>
    <s v="Pink wool, black satin lapels, black piping, fringe detail, silk and feather camélia"/>
    <s v="Tailoring as art "/>
    <s v="Medium"/>
    <s v="Matthieu Blazy-era Chanel / classic formalwear reinterpretation"/>
    <s v="No"/>
    <x v="0"/>
    <n v="0.36"/>
    <s v="Vogue"/>
    <s v="Pink Chanel long coat with black satin lapels, bow tie, fringe detail, and floral brooch. The look reinterprets classic formal menswear through a softer couture-inspired color palette."/>
    <m/>
  </r>
  <r>
    <s v="Emma Chamberlain"/>
    <s v="Miguel Castro Freitas"/>
    <s v="Mugler"/>
    <s v="Female"/>
    <s v="Yellow"/>
    <s v="Blue / green / multicolor"/>
    <s v="Multicolor"/>
    <s v="Mermaid / fitted gown"/>
    <s v="Hand-painted gown / artistic gown"/>
    <s v="Painted fabric, sheer sleeves, fringe details, flowing train"/>
    <s v="Painting-inspired / Archival reference"/>
    <s v="High"/>
    <s v="Archival Mugler look, including a butterfly dress from 1997 /Van Gogh-inspired / Starry Night-like color palette"/>
    <s v="Yes"/>
    <x v="1"/>
    <n v="0.67"/>
    <s v="Vogue"/>
    <s v="Hand-painted Mugler look by Miguel Castro Freitas, inspired by archival Mugler designs including a 1997 butterfly dress. The colorful painterly surface strongly connects the gown to the “Fashion is Art” theme."/>
    <m/>
  </r>
  <r>
    <s v="Jeremy Pope"/>
    <s v="Vivienne Westwood"/>
    <s v="Vivienne Westwood"/>
    <s v="Male"/>
    <s v="Black"/>
    <s v="Gold / bronze / multicolor"/>
    <s v="Black"/>
    <s v="Corseted jacket with straight-leg trousers"/>
    <s v="Tailored menswear / corset jacket look"/>
    <s v="Duchess silk, pearls, glass beads, sequins, stones, heavy embroidery"/>
    <s v="Historical / Corsetry as art"/>
    <s v="Medium"/>
    <s v="Vivienne Westwood 1996 corseted evening jacket"/>
    <s v="No"/>
    <x v="0"/>
    <n v="0.34"/>
    <s v="Vogue"/>
    <s v="Custom Vivienne Westwood look inspired by a Fall 1996 corseted evening jacket. The embroidered jacket uses pearls, glass beads, sequins, and stones, referencing historical corsetry and couture craftsmanship."/>
    <m/>
  </r>
  <r>
    <s v="Gwendoline Christie"/>
    <s v="Giles Deacon"/>
    <s v="Giles Deacon"/>
    <s v="Female"/>
    <s v="Red"/>
    <s v="Pink / green / purple"/>
    <s v="Red"/>
    <s v="Mermaid / dramatic tulle gown"/>
    <s v="Theatrical gown / costume-inspired gown"/>
    <s v="Tulle, feathers, sheer panels, structured bodice, dramatic headpiece"/>
    <s v="Theatrical / Surrealist / Performance art"/>
    <s v="High"/>
    <s v="John Singer Sargent, Madame Vionnet, Ira Cohen"/>
    <s v="No"/>
    <x v="0"/>
    <n v="0.36"/>
    <s v="Vogue"/>
    <s v="Dramatic red Giles Deacon gown with theatrical tulle, feather details, mask prop, and oversized headpiece. The look references performance and surrealist art, making the body appear like a living artwork."/>
    <m/>
  </r>
  <r>
    <s v="Beyoncé"/>
    <s v="Olivier Rousteing"/>
    <s v="Balmain"/>
    <s v="Female"/>
    <s v="Silver / nude"/>
    <s v="Grey / white"/>
    <s v="Silver"/>
    <s v="Sheer fitted gown with dramatic cape"/>
    <s v="Naked dress / skeletal gown / couture gown"/>
    <s v="Sheer fabric, crystals, beading, feathers, embellished headpiece"/>
    <s v="Anatomical body / Body as art"/>
    <s v="High"/>
    <s v="Skeleton / anatomical body"/>
    <s v="Yes"/>
    <x v="2"/>
    <n v="0.52"/>
    <s v="Vogue"/>
    <s v="Custom Olivier Rousteing sheer crystal gown with a skeleton-like structure, feathered cape, and embellished headpiece. The look directly connects to the body-focused “Fashion is Art” theme."/>
    <m/>
  </r>
  <r>
    <s v="Hailey Bieber"/>
    <s v="Anthony Vaccarello"/>
    <s v="Saint Laurent"/>
    <s v="Female"/>
    <s v="Cobalt blue"/>
    <s v="Gold"/>
    <s v="Blue"/>
    <s v="Column gown with sculpted bodice and cape"/>
    <s v="Sculptural gown / goddess-inspired gown"/>
    <s v="Silk chiffon, 24-karat gold bodice, metallic breastplate"/>
    <s v="Sculptural / Classical body"/>
    <s v="High"/>
    <s v="Yves Saint Laurent x Claude Lalanne Fall 1969 couture"/>
    <s v="No"/>
    <x v="0"/>
    <n v="0.33"/>
    <s v="Vogue"/>
    <s v="Custom Saint Laurent look by Anthony Vaccarello with a 24-karat gold sculpted bodice and cobalt blue chiffon gown. The look references Yves Saint Laurent’s 1969 collaboration with sculptor Claude Lalanne and turns the torso into a classical sculptural object."/>
    <m/>
  </r>
  <r>
    <s v="Ashley Graham"/>
    <s v="Dimitra Petsa"/>
    <s v="Di Petsa"/>
    <s v="Female"/>
    <s v="Nude / beige"/>
    <s v="Silver"/>
    <s v="Nude"/>
    <s v="Fitted sheer gown with tulle train"/>
    <s v="Wet-look gown / second-skin gown"/>
    <s v="Nude mesh, sheer tulle, draped fabric, wet-look texture"/>
    <s v="Anatomical body / Second skin / Sculptural body"/>
    <s v="Medium-high"/>
    <s v="Di Petsa Fall 2026 serpent-skin dress"/>
    <s v="No"/>
    <x v="0"/>
    <n v="0.1"/>
    <s v="Vogue"/>
    <s v="Custom Di Petsa gown by Dimitra Petsa, hand-sewn directly onto Ashley Graham’s body. The nude mesh and draping create a second-skin effect inspired by serpent scales, while the silver chrome-dipped fingers reference sculptors and the hand of the artist."/>
    <m/>
  </r>
  <r>
    <s v="Jon Batiste"/>
    <s v="Eli Russell Linnetz"/>
    <s v="ERL"/>
    <s v="Male"/>
    <s v="White / ivory"/>
    <s v="Cream"/>
    <s v="White"/>
    <s v="Oversized padded coat with wide-leg trousers"/>
    <s v="Oversized menswear / padded coat look"/>
    <s v="Padded fabric, glossy/technical fabric, ruffled shirt, structured volume"/>
    <s v="Classical body / Deconstructed tailoring"/>
    <s v="Medium"/>
    <s v="Grecian goddess dresses"/>
    <s v="No"/>
    <x v="0"/>
    <n v="0.18"/>
    <s v="Vogue"/>
    <s v="All-white ERL look referencing Grecian goddess dresses, but interpreted through puffed volume instead of classical pleats. The outfit mixes classical inspiration with oversized contemporary menswear."/>
    <m/>
  </r>
  <r>
    <s v="Chase Infiniti"/>
    <s v="Thom Browne"/>
    <s v="Thom Browne"/>
    <s v="Female"/>
    <s v="Multicolor"/>
    <m/>
    <s v="Multicolor"/>
    <s v="Fitted column gown"/>
    <s v="Trompe-l’œil gown / artistic gown"/>
    <s v="Stacked sequins, silk fringe, embroidered texture"/>
    <s v="Classical body / Painting-inspired / Trompe-l’œil"/>
    <s v="High"/>
    <s v="Venus de Milo by Alexandros of Antioch"/>
    <s v="Yes"/>
    <x v="2"/>
    <n v="0.55000000000000004"/>
    <s v="Vogue"/>
    <s v="Custom Thom Browne trompe-l’œil dress inspired by the Venus de Milo. The gown uses over 1.5 million stacked sequins and silk fringe in more than 600 colors to mimic painterly brushstrokes and turn the body into a classical artwork."/>
    <m/>
  </r>
  <r>
    <s v="Cara Delevingne"/>
    <s v="Ralph Lauren"/>
    <s v="Ralph Lauren"/>
    <s v="Female"/>
    <s v="Black"/>
    <s v="Nude / sheer"/>
    <s v="Black"/>
    <s v="Fitted column gown with train"/>
    <s v="Evening gown / sheer panel gown"/>
    <s v="Velvet-like black fabric, sheer tulle, lace train, high neck"/>
    <s v="Historical fashion reference / Minimalist elegance"/>
    <s v="Low-medium"/>
    <s v="Ralph Lauren November 2011 Vogue cover dress worn by Rooney Mara"/>
    <s v="No"/>
    <x v="0"/>
    <n v="0.22"/>
    <s v="Vogue"/>
    <s v="Black Ralph Lauren gown referencing the dress Rooney Mara wore on the November 2011 Vogue cover. The look is elegant and archival, but the connection to the “Fashion is Art” theme is subtle compared with more sculptural or conceptual looks."/>
    <m/>
  </r>
  <r>
    <s v="Nicole Kidman"/>
    <s v="Matthieu Blazy"/>
    <s v="Chanel"/>
    <s v="Female"/>
    <s v="Ruby red"/>
    <s v="Red"/>
    <s v="Red"/>
    <s v="Fitted drop-waist gown with train"/>
    <s v="Sequin gown / feather-trimmed gown"/>
    <s v="Sequins, feathers, organza flowers, hand-beading"/>
    <s v="Glamour / Craftsmanship as art"/>
    <s v="Medium"/>
    <s v="Chanel couture craftsmanship / Moulin Rouge-style showgirl glamour"/>
    <s v="No"/>
    <x v="0"/>
    <n v="0.24"/>
    <s v="Vogue"/>
    <s v="Custom ruby-red Chanel gown by Matthieu Blazy, fully embroidered with sequins and feathered trim. The look emphasizes couture craftsmanship and theatrical glamour, but the connection to the “Fashion is Art” theme is more subtle than sculptural or concept-driven looks."/>
    <m/>
  </r>
  <r>
    <s v="Sinéad Burke"/>
    <s v="Christian Siriano"/>
    <s v="Christian Siriano"/>
    <s v="Female"/>
    <s v="Black"/>
    <m/>
    <s v="Black"/>
    <s v="Corseted gown with cape-like draping"/>
    <s v="Corset gown / dramatic black gown"/>
    <s v="Corset structure, feather-like embellishments, black chiffon draping, sheer cape panels"/>
    <s v="Body as art / Inclusive body representation"/>
    <s v="High"/>
    <s v="Her own figure molded into a mannequin for “Costume Art”"/>
    <s v="No"/>
    <x v="0"/>
    <n v="0.21"/>
    <s v="Vogue"/>
    <s v="Jet-black Christian Siriano gown with a corseted structure, feather-like shoulder embellishments, and chiffon cape draping. The look strongly connects to the exhibition because Burke’s own figure was molded into a mannequin for “Costume Art.”"/>
    <m/>
  </r>
  <r>
    <s v="Sarah Pidgeon"/>
    <s v="Jack McCollough and Lazaro Hernandez"/>
    <s v="Loewe"/>
    <s v="Female"/>
    <s v="Chartreuse / yellow-green"/>
    <m/>
    <s v="Chartreuse"/>
    <s v="Column skirt with bandeau top"/>
    <s v="Minimalist two-piece gown / sculptural bandeau look"/>
    <s v="Matte satin, draped fabric, twisted bandeau"/>
    <s v="Minimalist art / Sculptural simplicity"/>
    <s v="Medium"/>
    <s v="Loewe Fall 2026 look 43; 1990s minimalism"/>
    <s v="No"/>
    <x v="3"/>
    <n v="0.08"/>
    <s v="Vogue"/>
    <s v="Custom Loewe chartreuse matte satin look by Jack McCollough and Lazaro Hernandez, featuring a twisted bandeau top and column skirt. The look has a minimalist sculptural quality, but its connection to the “Fashion is Art” theme is subtle, which may explain the very low public approval."/>
    <m/>
  </r>
  <r>
    <s v="Rauw Alejandro"/>
    <s v="Anthony Vaccarello"/>
    <s v="Saint Laurent"/>
    <s v="Male"/>
    <s v="Black"/>
    <m/>
    <s v="Black"/>
    <s v="Tailored trousers with glossy wrap shirt"/>
    <s v="Tailored menswear / wet-look shirt"/>
    <s v="Glossy silicone, tuxedo fabric, patent leather effect"/>
    <s v="Wet-look / Minimalist tailoring"/>
    <s v="Low-medium"/>
    <s v="Saint Laurent wet-look tailoring / body-conscious menswear"/>
    <s v="No"/>
    <x v="3"/>
    <n v="0.12"/>
    <s v="Vogue"/>
    <s v="Black Saint Laurent look with glossy silicone lavallière/wrap shirt and tuxedo trousers. The wet-look texture gives the outfit a sensual, body-focused quality, but the concept is subtle for the “Fashion is Art” theme."/>
    <m/>
  </r>
  <r>
    <s v="Venus Williams"/>
    <s v="Giovanna Engelbert"/>
    <s v="Swarovski"/>
    <s v="Female"/>
    <s v="Black"/>
    <s v="Silver / crystal"/>
    <s v="Black"/>
    <s v="Mermaid gown with structured neckplate"/>
    <s v="Crystal gown / jewelry-focused gown"/>
    <s v="Crystal mesh, beading, pearl/crystal neckplate, draped chains"/>
    <s v="Portrait-inspired / Body as art / Personal symbolism"/>
    <s v="High"/>
    <s v="Robert Pruitt, Venus Williams, Double Portrait 2022"/>
    <s v="No"/>
    <x v="0"/>
    <n v="0.18"/>
    <s v="Vogue"/>
    <s v="Custom Swarovski crystal mesh gown by Giovanna Engelbert, inspired by Robert Pruitt’s 2022 portrait of Venus Williams. The symbolic neckplate references her life, family, tennis career, California roots, and legacy."/>
    <m/>
  </r>
  <r>
    <s v="Kim Kardashian"/>
    <s v="Allen Jones / Whitaker Malem"/>
    <s v="Allen Jones / Whitaker Malem"/>
    <s v="Female"/>
    <s v="Orange / tangerine"/>
    <s v="Brown / nude"/>
    <s v="Orange"/>
    <s v="Sculpted bodysuit with open-front skirt"/>
    <s v="Sculptural breastplate / body armour look"/>
    <s v="Fiberglass breastplate, leather skirt, painted surface, glossy molded finish"/>
    <s v="Sculptural / Anatomical body / Body armour"/>
    <s v="High"/>
    <s v="Allen Jones, Body Armour; 1967–68 body cast reference"/>
    <s v="No"/>
    <x v="0"/>
    <n v="0.18"/>
    <s v="Vogue"/>
    <s v="Custom sculptural look created with Allen Jones and Whitaker Malem. The molded orange fiberglass breastplate references Allen Jones’s body-armour works and turns the torso into a wearable sculpture, paired with a painted leather skirt."/>
    <m/>
  </r>
  <r>
    <s v="Angela Bassett"/>
    <s v="Prabal Gurung"/>
    <s v="Prabal Gurung"/>
    <s v="Female"/>
    <s v="Pink"/>
    <s v="Light pink / silver"/>
    <s v="Pink"/>
    <s v="Fitted gown with fringe skirt and slit"/>
    <s v="Pink couture gown / fringe gown"/>
    <s v="Draped bodice, beaded fringe, floral appliqué, embellishment"/>
    <s v="Painting-inspired / Black art history"/>
    <s v="High"/>
    <s v="Laura Wheeler Waring, Girl in Pink Dress / The Girl in the Pink Dress 1927"/>
    <s v="No"/>
    <x v="3"/>
    <n v="0.15"/>
    <s v="Vogue"/>
    <s v="Custom pink Prabal Gurung gown inspired by Laura Wheeler Waring’s 1927 painting Girl in Pink Dress. The look translates the artwork’s pink palette into a mature red-carpet silhouette with draping, floral details, and beaded fringe."/>
    <m/>
  </r>
  <r>
    <s v="Lauren Wasser"/>
    <s v="Prabal Gurung"/>
    <s v="Prabal Gurung"/>
    <s v="Female"/>
    <s v="Gold"/>
    <s v="Black"/>
    <s v="Gold"/>
    <s v="Tailored oversized suit with shorts"/>
    <s v="Metallic suit / tailored menswear-inspired look"/>
    <s v="Gold lamé, pleats, metallic fabric, structured tailoring"/>
    <s v="Classical body / Goddess-inspired tailoring"/>
    <s v="Medium-high"/>
    <s v="Grecian goddess gowns in the exhibition"/>
    <s v="No"/>
    <x v="0"/>
    <n v="0.24"/>
    <s v="Vogue"/>
    <s v="Gold lamé two-piece Prabal Gurung suit with pleats reminiscent of Grecian goddess gowns from the exhibition. The look combines classical draping references with modern tailored suiting and highlights Wasser’s signature gold prosthetic legs."/>
    <m/>
  </r>
  <r>
    <s v="Aariana Rose Philip"/>
    <s v="Hillary Tay"/>
    <s v="Collina Strada"/>
    <s v="Female"/>
    <s v="Black"/>
    <m/>
    <s v="Black"/>
    <s v="Draped gown adapted for wheelchair"/>
    <s v="Draped evening gown / adaptive couture look"/>
    <s v="Silky draped fabric, ruched texture, soft folds"/>
    <s v="Body as art / Inclusive body representation / 1930s glamour"/>
    <s v="High"/>
    <s v="1930s screen siren gown; her own figure molded into a mannequin for “Costume Art”"/>
    <s v="No"/>
    <x v="0"/>
    <n v="0.17"/>
    <s v="Vogue"/>
    <s v="Black Collina Strada gown by Hillary Taymour, recalling the slinky elegance of a 1930s screen siren. The look strongly connects to the exhibition because Philip’s own figure was molded into a mannequin for “Costume Art,” bringing inclusive body representation directly into the theme."/>
    <m/>
  </r>
  <r>
    <s v="SZA"/>
    <s v="Emily Adams Bode Aujla"/>
    <s v="Bode"/>
    <s v="Female"/>
    <s v="Yellow / golden yellow"/>
    <s v="Orange / pink / floral multicolor"/>
    <s v="Multicolor"/>
    <s v="Tiered ball gown with corset and train"/>
    <s v="Vintage-fabric gown / fairy-tale couture gown"/>
    <s v="Vintage tulle, taffeta, silk faille, beaded lace, floral appliqués, hand-painted silk wings"/>
    <s v="Craftsmanship as art / Nature-inspired / Historical reference"/>
    <s v="High"/>
    <s v="Wiener Werkstätte; 18th-century robe française; butterfly-wing motifs"/>
    <s v="Yes"/>
    <x v="2"/>
    <n v="0.55000000000000004"/>
    <s v="Vogue"/>
    <s v="Custom Bode gown by Emily Adams Bode Aujla, made from over 100 yards of vintage yellow fabrics sourced from eBay. The look combines corsetry, a tiered skirt, floral appliqués, butterfly-wing details, and historical robe française inspiration, creating a nature-focused and craft-heavy interpretation of “Fashion is Art.”"/>
    <m/>
  </r>
  <r>
    <s v="Zoë Kravitz"/>
    <s v="Anthony Vaccarello"/>
    <s v="Saint Laurent"/>
    <s v="Female"/>
    <s v="Black"/>
    <s v="Nude / sheer"/>
    <s v="Black"/>
    <s v="Fitted gown with basque waist and structured skirt"/>
    <s v="Sheer lace gown / dark bridal look"/>
    <s v="Guipure lace, sheer fabric, sculptural peplum/skirt structure"/>
    <s v="Dark bridal / Historical fashion reference / Lace craftsmanship"/>
    <s v="Medium"/>
    <s v="Basque waist bridal silhouette; Jessica McCormack jewelry with surrealist eye motifs"/>
    <s v="No"/>
    <x v="0"/>
    <n v="0.31"/>
    <s v="Vogue"/>
    <s v="Black Saint Laurent guipure-lace gown by Anthony Vaccarello, worn unlined with a basque waist and dramatic lace structure. The look has strong dark bridal and lace-craftsmanship references, but the connection to “Fashion is Art” is more subtle than sculptural or painting-inspired looks."/>
    <m/>
  </r>
  <r>
    <s v="Liline Jacquemus"/>
    <s v="Simon Porte Jacquemus"/>
    <s v="Jacquemus"/>
    <s v="Female"/>
    <s v="White / ivory"/>
    <m/>
    <s v="White"/>
    <s v="Minimalist relaxed tailoring"/>
    <s v="Coordinated white tailoring / family duo look"/>
    <s v="Soft suiting fabric, sheer/flowing layers, clean matte texture"/>
    <s v="Minimalist art / Personal storytelling"/>
    <s v="Medium"/>
    <s v="Family memory / Jacquemus brand identity"/>
    <s v="No"/>
    <x v="3"/>
    <n v="0.14000000000000001"/>
    <s v="Vogue"/>
    <s v="Coordinated custom white Jacquemus looks worn by Simon Porte Jacquemus and his grandmother Liline. The styling reflects the designer’s family-centered brand identity and creates an intimate, emotional interpretation of fashion as personal art, though the visual impact is subtle for the Met Gala."/>
    <m/>
  </r>
  <r>
    <s v="Simon Porte Jacquemus"/>
    <s v="Simon Porte Jacquemus"/>
    <s v="Jacquemus"/>
    <s v="Male"/>
    <s v="White / ivory"/>
    <m/>
    <s v="White"/>
    <s v="Minimalist relaxed tailoring"/>
    <s v="Coordinated white tailoring / family duo look"/>
    <s v="Soft suiting fabric, sheer/flowing layers, clean matte texture"/>
    <s v="Minimalist art / Personal storytelling"/>
    <s v="Medium"/>
    <s v="Family memory / Jacquemus brand identity"/>
    <s v="No"/>
    <x v="3"/>
    <n v="0.14000000000000001"/>
    <s v="Vogue"/>
    <s v="Coordinated custom white Jacquemus looks worn by Simon Porte Jacquemus and his grandmother Liline. The styling reflects the designer’s family-centered brand identity and creates an intimate, emotional interpretation of fashion as personal art, though the visual impact is subtle for the Met Gala."/>
    <m/>
  </r>
  <r>
    <s v="Sabine Getty"/>
    <s v="Mohammed Ashi"/>
    <s v="Ashi Studio"/>
    <s v="Female"/>
    <s v="Nude / ivory"/>
    <s v="Gold / beige"/>
    <s v="Nude"/>
    <s v="Fitted sheer gown with asymmetrical draping"/>
    <s v="Illusion gown / art-inspired gown"/>
    <s v="Sheer tulle, distressed texture, feather-like fibers, bejeweled detail"/>
    <s v="Body as art / Illusion / Conceptual fashion"/>
    <s v="High"/>
    <s v="Bejeweled finger motif; life imitating art"/>
    <s v="Borderline"/>
    <x v="2"/>
    <n v="0.49"/>
    <s v="Vogue"/>
    <s v="Ashi Studio illusion gown with a bejeweled finger motif on the dress, echoed by Getty’s real hand placement. The look plays with the boundary between body, clothing, and artwork, making it a strong conceptual fit for “Fashion is Art.”"/>
    <m/>
  </r>
  <r>
    <s v="Colman Domingo"/>
    <s v="Alessandro Michele"/>
    <s v="Valentino"/>
    <s v="Male"/>
    <s v="Multicolor"/>
    <m/>
    <s v="Multicolor"/>
    <s v="Tailored tunic with straight-leg trousers"/>
    <s v="Color-blocked tailored look / harlequin-inspired menswear"/>
    <s v="Knit or embroidered diamond-pattern fabric, structured tailoring, wide black belt"/>
    <s v="Costume art / Harlequin / Pattern as art"/>
    <s v="Medium-high"/>
    <s v="Harlequin / commedia dell’arte-inspired diamond pattern"/>
    <s v="No"/>
    <x v="0"/>
    <n v="0.24"/>
    <s v="Vogue"/>
    <s v="Valentino multicolor diamond-pattern look with a black waist sash and tailored trousers. The harlequin-like pattern gives the outfit a theatrical, costume-art quality, while the tailoring keeps it polished and formal."/>
    <m/>
  </r>
  <r>
    <s v="Isha Ambani"/>
    <s v="Gaurav Gupta"/>
    <s v="Gaurav Gupta"/>
    <s v="Female"/>
    <s v="Gold / ivory"/>
    <s v="Emerald / yellow"/>
    <s v="Gold"/>
    <s v="Draped sari with sculptural cape"/>
    <s v="Sculptural sari / heritage couture look"/>
    <s v="Gold threads, embroidered fabric, sculptural draping, jewelry embellishment"/>
    <s v="Heritage craftsmanship / Sculptural / Body as art"/>
    <s v="High"/>
    <s v="Indian sari tradition; fresco-like hand-painted details; mango sculpture accessory"/>
    <s v="Borderline"/>
    <x v="2"/>
    <n v="0.48"/>
    <s v="Vogue"/>
    <s v="Custom Gaurav Gupta gold sari look with sculptural draping, jewelry-heavy styling, and heritage craftsmanship. The look combines Indian sari tradition with couture construction and art-object accessories, making it a strong interpretation of “Fashion is Art.”"/>
    <m/>
  </r>
  <r>
    <s v="Connor Storrie"/>
    <s v="Anthony Vaccarello"/>
    <s v="Saint Laurent"/>
    <s v="Male"/>
    <s v="Black"/>
    <s v="White / silver"/>
    <s v="Black"/>
    <s v="Wide-leg tailored trousers with halter top"/>
    <s v="Gender-fluid tailoring / halter menswear look"/>
    <s v="Polka-dot fabric, tailored wool trousers, long flowing train, brooch details"/>
    <s v="Gender-fluid fashion / Drapery as art / Tailoring"/>
    <s v="Medium-high"/>
    <s v="Greek or Roman sculpture-inspired drapery"/>
    <s v="No"/>
    <x v="0"/>
    <n v="0.26"/>
    <s v="Vogue"/>
    <s v="Saint Laurent look by Anthony Vaccarello with a sleeveless polka-dot halter top, tailored wide-leg trousers, and a long flowing back train. The drapery gives a subtle Greek/Roman sculpture reference, while the halter silhouette creates a gender-fluid take on classic Saint Laurent tailoring."/>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x v="0"/>
    <x v="0"/>
    <x v="0"/>
    <s v="Female"/>
    <s v="Metallic grey"/>
    <s v="Charcoal"/>
    <x v="0"/>
    <s v="Sculptural column"/>
    <x v="0"/>
    <s v="Duchess silk, recycled metal threads, crystal beads, antique jewels, chains, heavy embroidery"/>
    <x v="0"/>
    <x v="0"/>
    <s v="Medieval Flemish architecture / Flanders, Belgium"/>
    <s v="No"/>
    <s v="Low"/>
    <x v="0"/>
    <s v="Vogue"/>
    <s v="Custom sculptural Maison Margiela gown by Glenn Martens, inspired by medieval Flemish architecture. The metallic cocoon-like structure makes the body look like an architectural sculpture."/>
  </r>
  <r>
    <x v="1"/>
    <x v="1"/>
    <x v="1"/>
    <s v="Male"/>
    <s v="Pink"/>
    <s v="Black / white"/>
    <x v="1"/>
    <s v="Tailored long coat"/>
    <x v="1"/>
    <s v="Pink wool, black satin lapels, black piping, fringe detail, silk and feather camélia"/>
    <x v="1"/>
    <x v="1"/>
    <s v="Matthieu Blazy-era Chanel / classic formalwear reinterpretation"/>
    <s v="No"/>
    <s v="Low"/>
    <x v="0"/>
    <s v="Vogue"/>
    <s v="Pink Chanel long coat with black satin lapels, bow tie, fringe detail, and floral brooch. The look reinterprets classic formal menswear through a softer couture-inspired color palette."/>
  </r>
  <r>
    <x v="2"/>
    <x v="2"/>
    <x v="2"/>
    <s v="Female"/>
    <s v="Yellow"/>
    <s v="Blue / green / multicolor"/>
    <x v="2"/>
    <s v="Mermaid / fitted gown"/>
    <x v="2"/>
    <s v="Painted fabric, sheer sleeves, fringe details, flowing train"/>
    <x v="2"/>
    <x v="0"/>
    <s v="Archival Mugler look, including a butterfly dress from 1997 /Van Gogh-inspired / Starry Night-like color palette"/>
    <s v="Yes"/>
    <s v="Medium-high"/>
    <x v="1"/>
    <s v="Vogue"/>
    <s v="Hand-painted Mugler look by Miguel Castro Freitas, inspired by archival Mugler designs including a 1997 butterfly dress. The colorful painterly surface strongly connects the gown to the “Fashion is Art” theme."/>
  </r>
  <r>
    <x v="3"/>
    <x v="3"/>
    <x v="3"/>
    <s v="Male"/>
    <s v="Black"/>
    <s v="Gold / bronze / multicolor"/>
    <x v="3"/>
    <s v="Corseted jacket with straight-leg trousers"/>
    <x v="3"/>
    <s v="Duchess silk, pearls, glass beads, sequins, stones, heavy embroidery"/>
    <x v="3"/>
    <x v="1"/>
    <s v="Vivienne Westwood 1996 corseted evening jacket"/>
    <s v="No"/>
    <s v="Low"/>
    <x v="2"/>
    <s v="Vogue"/>
    <s v="Custom Vivienne Westwood look inspired by a Fall 1996 corseted evening jacket. The embroidered jacket uses pearls, glass beads, sequins, and stones, referencing historical corsetry and couture craftsmanship."/>
  </r>
  <r>
    <x v="4"/>
    <x v="4"/>
    <x v="4"/>
    <s v="Female"/>
    <s v="Red"/>
    <s v="Pink / green / purple"/>
    <x v="4"/>
    <s v="Mermaid / dramatic tulle gown"/>
    <x v="4"/>
    <s v="Tulle, feathers, sheer panels, structured bodice, dramatic headpiece"/>
    <x v="4"/>
    <x v="0"/>
    <s v="John Singer Sargent, Madame Vionnet, Ira Cohen"/>
    <s v="No"/>
    <s v="Low"/>
    <x v="0"/>
    <s v="Vogue"/>
    <s v="Dramatic red Giles Deacon gown with theatrical tulle, feather details, mask prop, and oversized headpiece. The look references performance and surrealist art, making the body appear like a living artwork."/>
  </r>
  <r>
    <x v="5"/>
    <x v="5"/>
    <x v="5"/>
    <s v="Female"/>
    <s v="Silver / nude"/>
    <s v="Grey / white"/>
    <x v="5"/>
    <s v="Sheer fitted gown with dramatic cape"/>
    <x v="5"/>
    <s v="Sheer fabric, crystals, beading, feathers, embellished headpiece"/>
    <x v="5"/>
    <x v="0"/>
    <s v="Skeleton / anatomical body"/>
    <s v="Yes"/>
    <s v="Medium"/>
    <x v="3"/>
    <s v="Vogue"/>
    <s v="Custom Olivier Rousteing sheer crystal gown with a skeleton-like structure, feathered cape, and embellished headpiece. The look directly connects to the body-focused “Fashion is Art” theme."/>
  </r>
  <r>
    <x v="6"/>
    <x v="6"/>
    <x v="6"/>
    <s v="Female"/>
    <s v="Cobalt blue"/>
    <s v="Gold"/>
    <x v="6"/>
    <s v="Column gown with sculpted bodice and cape"/>
    <x v="6"/>
    <s v="Silk chiffon, 24-karat gold bodice, metallic breastplate"/>
    <x v="6"/>
    <x v="0"/>
    <s v="Yves Saint Laurent x Claude Lalanne Fall 1969 couture"/>
    <s v="No"/>
    <s v="Low"/>
    <x v="4"/>
    <s v="Vogue"/>
    <s v="Custom Saint Laurent look by Anthony Vaccarello with a 24-karat gold sculpted bodice and cobalt blue chiffon gown. The look references Yves Saint Laurent’s 1969 collaboration with sculptor Claude Lalanne and turns the torso into a classical sculptural object."/>
  </r>
  <r>
    <x v="7"/>
    <x v="7"/>
    <x v="7"/>
    <s v="Female"/>
    <s v="Nude / beige"/>
    <s v="Silver"/>
    <x v="7"/>
    <s v="Fitted sheer gown with tulle train"/>
    <x v="7"/>
    <s v="Nude mesh, sheer tulle, draped fabric, wet-look texture"/>
    <x v="7"/>
    <x v="2"/>
    <s v="Di Petsa Fall 2026 serpent-skin dress"/>
    <s v="No"/>
    <s v="Low"/>
    <x v="5"/>
    <s v="Vogue"/>
    <s v="Custom Di Petsa gown by Dimitra Petsa, hand-sewn directly onto Ashley Graham’s body. The nude mesh and draping create a second-skin effect inspired by serpent scales, while the silver chrome-dipped fingers reference sculptors and the hand of the artist."/>
  </r>
  <r>
    <x v="8"/>
    <x v="8"/>
    <x v="8"/>
    <s v="Male"/>
    <s v="White / ivory"/>
    <s v="Cream"/>
    <x v="8"/>
    <s v="Oversized padded coat with wide-leg trousers"/>
    <x v="8"/>
    <s v="Padded fabric, glossy/technical fabric, ruffled shirt, structured volume"/>
    <x v="8"/>
    <x v="1"/>
    <s v="Grecian goddess dresses"/>
    <s v="No"/>
    <s v="Low"/>
    <x v="6"/>
    <s v="Vogue"/>
    <s v="All-white ERL look referencing Grecian goddess dresses, but interpreted through puffed volume instead of classical pleats. The outfit mixes classical inspiration with oversized contemporary menswear."/>
  </r>
  <r>
    <x v="9"/>
    <x v="9"/>
    <x v="9"/>
    <s v="Female"/>
    <s v="Multicolor"/>
    <m/>
    <x v="2"/>
    <s v="Fitted column gown"/>
    <x v="9"/>
    <s v="Stacked sequins, silk fringe, embroidered texture"/>
    <x v="9"/>
    <x v="0"/>
    <s v="Venus de Milo by Alexandros of Antioch"/>
    <s v="Yes"/>
    <s v="Medium"/>
    <x v="7"/>
    <s v="Vogue"/>
    <s v="Custom Thom Browne trompe-l’œil dress inspired by the Venus de Milo. The gown uses over 1.5 million stacked sequins and silk fringe in more than 600 colors to mimic painterly brushstrokes and turn the body into a classical artwork."/>
  </r>
  <r>
    <x v="10"/>
    <x v="10"/>
    <x v="10"/>
    <s v="Female"/>
    <s v="Black"/>
    <s v="Nude / sheer"/>
    <x v="3"/>
    <s v="Fitted column gown with train"/>
    <x v="10"/>
    <s v="Velvet-like black fabric, sheer tulle, lace train, high neck"/>
    <x v="10"/>
    <x v="3"/>
    <s v="Ralph Lauren November 2011 Vogue cover dress worn by Rooney Mara"/>
    <s v="No"/>
    <s v="Low"/>
    <x v="8"/>
    <s v="Vogue"/>
    <s v="Black Ralph Lauren gown referencing the dress Rooney Mara wore on the November 2011 Vogue cover. The look is elegant and archival, but the connection to the “Fashion is Art” theme is subtle compared with more sculptural or conceptual looks."/>
  </r>
  <r>
    <x v="11"/>
    <x v="1"/>
    <x v="1"/>
    <s v="Female"/>
    <s v="Ruby red"/>
    <s v="Red"/>
    <x v="4"/>
    <s v="Fitted drop-waist gown with train"/>
    <x v="11"/>
    <s v="Sequins, feathers, organza flowers, hand-beading"/>
    <x v="11"/>
    <x v="1"/>
    <s v="Chanel couture craftsmanship / Moulin Rouge-style showgirl glamour"/>
    <s v="No"/>
    <s v="Low"/>
    <x v="9"/>
    <s v="Vogue"/>
    <s v="Custom ruby-red Chanel gown by Matthieu Blazy, fully embroidered with sequins and feathered trim. The look emphasizes couture craftsmanship and theatrical glamour, but the connection to the “Fashion is Art” theme is more subtle than sculptural or concept-driven looks."/>
  </r>
  <r>
    <x v="12"/>
    <x v="11"/>
    <x v="11"/>
    <s v="Female"/>
    <s v="Black"/>
    <m/>
    <x v="3"/>
    <s v="Corseted gown with cape-like draping"/>
    <x v="12"/>
    <s v="Corset structure, feather-like embellishments, black chiffon draping, sheer cape panels"/>
    <x v="12"/>
    <x v="0"/>
    <s v="Her own figure molded into a mannequin for “Costume Art”"/>
    <s v="No"/>
    <s v="Low"/>
    <x v="10"/>
    <s v="Vogue"/>
    <s v="Jet-black Christian Siriano gown with a corseted structure, feather-like shoulder embellishments, and chiffon cape draping. The look strongly connects to the exhibition because Burke’s own figure was molded into a mannequin for “Costume Art.”"/>
  </r>
  <r>
    <x v="13"/>
    <x v="12"/>
    <x v="12"/>
    <s v="Female"/>
    <s v="Chartreuse / yellow-green"/>
    <m/>
    <x v="9"/>
    <s v="Column skirt with bandeau top"/>
    <x v="13"/>
    <s v="Matte satin, draped fabric, twisted bandeau"/>
    <x v="13"/>
    <x v="1"/>
    <s v="Loewe Fall 2026 look 43; 1990s minimalism"/>
    <s v="No"/>
    <s v="Very low"/>
    <x v="11"/>
    <s v="Vogue"/>
    <s v="Custom Loewe chartreuse matte satin look by Jack McCollough and Lazaro Hernandez, featuring a twisted bandeau top and column skirt. The look has a minimalist sculptural quality, but its connection to the “Fashion is Art” theme is subtle, which may explain the very low public approval."/>
  </r>
  <r>
    <x v="14"/>
    <x v="6"/>
    <x v="6"/>
    <s v="Male"/>
    <s v="Black"/>
    <m/>
    <x v="3"/>
    <s v="Tailored trousers with glossy wrap shirt"/>
    <x v="14"/>
    <s v="Glossy silicone, tuxedo fabric, patent leather effect"/>
    <x v="14"/>
    <x v="3"/>
    <s v="Saint Laurent wet-look tailoring / body-conscious menswear"/>
    <s v="No"/>
    <s v="Very low"/>
    <x v="12"/>
    <s v="Vogue"/>
    <s v="Black Saint Laurent look with glossy silicone lavallière/wrap shirt and tuxedo trousers. The wet-look texture gives the outfit a sensual, body-focused quality, but the concept is subtle for the “Fashion is Art” theme."/>
  </r>
  <r>
    <x v="15"/>
    <x v="13"/>
    <x v="13"/>
    <s v="Female"/>
    <s v="Black"/>
    <s v="Silver / crystal"/>
    <x v="3"/>
    <s v="Mermaid gown with structured neckplate"/>
    <x v="15"/>
    <s v="Crystal mesh, beading, pearl/crystal neckplate, draped chains"/>
    <x v="15"/>
    <x v="0"/>
    <s v="Robert Pruitt, Venus Williams, Double Portrait 2022"/>
    <s v="No"/>
    <s v="Low"/>
    <x v="6"/>
    <s v="Vogue"/>
    <s v="Custom Swarovski crystal mesh gown by Giovanna Engelbert, inspired by Robert Pruitt’s 2022 portrait of Venus Williams. The symbolic neckplate references her life, family, tennis career, California roots, and legacy."/>
  </r>
  <r>
    <x v="16"/>
    <x v="14"/>
    <x v="14"/>
    <s v="Female"/>
    <s v="Orange / tangerine"/>
    <s v="Brown / nude"/>
    <x v="10"/>
    <s v="Sculpted bodysuit with open-front skirt"/>
    <x v="16"/>
    <s v="Fiberglass breastplate, leather skirt, painted surface, glossy molded finish"/>
    <x v="16"/>
    <x v="0"/>
    <s v="Allen Jones, Body Armour; 1967–68 body cast reference"/>
    <s v="No"/>
    <s v="Low"/>
    <x v="6"/>
    <s v="Vogue"/>
    <s v="Custom sculptural look created with Allen Jones and Whitaker Malem. The molded orange fiberglass breastplate references Allen Jones’s body-armour works and turns the torso into a wearable sculpture, paired with a painted leather skirt."/>
  </r>
  <r>
    <x v="17"/>
    <x v="15"/>
    <x v="15"/>
    <s v="Female"/>
    <s v="Pink"/>
    <s v="Light pink / silver"/>
    <x v="1"/>
    <s v="Fitted gown with fringe skirt and slit"/>
    <x v="17"/>
    <s v="Draped bodice, beaded fringe, floral appliqué, embellishment"/>
    <x v="17"/>
    <x v="0"/>
    <s v="Laura Wheeler Waring, Girl in Pink Dress / The Girl in the Pink Dress 1927"/>
    <s v="No"/>
    <s v="Very low"/>
    <x v="13"/>
    <s v="Vogue"/>
    <s v="Custom pink Prabal Gurung gown inspired by Laura Wheeler Waring’s 1927 painting Girl in Pink Dress. The look translates the artwork’s pink palette into a mature red-carpet silhouette with draping, floral details, and beaded fringe."/>
  </r>
  <r>
    <x v="18"/>
    <x v="15"/>
    <x v="15"/>
    <s v="Female"/>
    <s v="Gold"/>
    <s v="Black"/>
    <x v="11"/>
    <s v="Tailored oversized suit with shorts"/>
    <x v="18"/>
    <s v="Gold lamé, pleats, metallic fabric, structured tailoring"/>
    <x v="18"/>
    <x v="2"/>
    <s v="Grecian goddess gowns in the exhibition"/>
    <s v="No"/>
    <s v="Low"/>
    <x v="9"/>
    <s v="Vogue"/>
    <s v="Gold lamé two-piece Prabal Gurung suit with pleats reminiscent of Grecian goddess gowns from the exhibition. The look combines classical draping references with modern tailored suiting and highlights Wasser’s signature gold prosthetic legs."/>
  </r>
  <r>
    <x v="19"/>
    <x v="16"/>
    <x v="16"/>
    <s v="Female"/>
    <s v="Black"/>
    <m/>
    <x v="3"/>
    <s v="Draped gown adapted for wheelchair"/>
    <x v="19"/>
    <s v="Silky draped fabric, ruched texture, soft folds"/>
    <x v="19"/>
    <x v="0"/>
    <s v="1930s screen siren gown; her own figure molded into a mannequin for “Costume Art”"/>
    <s v="No"/>
    <s v="Low"/>
    <x v="14"/>
    <s v="Vogue"/>
    <s v="Black Collina Strada gown by Hillary Taymour, recalling the slinky elegance of a 1930s screen siren. The look strongly connects to the exhibition because Philip’s own figure was molded into a mannequin for “Costume Art,” bringing inclusive body representation directly into the theme."/>
  </r>
  <r>
    <x v="20"/>
    <x v="17"/>
    <x v="17"/>
    <s v="Female"/>
    <s v="Yellow / golden yellow"/>
    <s v="Orange / pink / floral multicolor"/>
    <x v="2"/>
    <s v="Tiered ball gown with corset and train"/>
    <x v="20"/>
    <s v="Vintage tulle, taffeta, silk faille, beaded lace, floral appliqués, hand-painted silk wings"/>
    <x v="20"/>
    <x v="0"/>
    <s v="Wiener Werkstätte; 18th-century robe française; butterfly-wing motifs"/>
    <s v="Yes"/>
    <s v="Medium"/>
    <x v="7"/>
    <s v="Vogue"/>
    <s v="Custom Bode gown by Emily Adams Bode Aujla, made from over 100 yards of vintage yellow fabrics sourced from eBay. The look combines corsetry, a tiered skirt, floral appliqués, butterfly-wing details, and historical robe française inspiration, creating a nature-focused and craft-heavy interpretation of “Fashion is Art.”"/>
  </r>
  <r>
    <x v="21"/>
    <x v="6"/>
    <x v="6"/>
    <s v="Female"/>
    <s v="Black"/>
    <s v="Nude / sheer"/>
    <x v="3"/>
    <s v="Fitted gown with basque waist and structured skirt"/>
    <x v="21"/>
    <s v="Guipure lace, sheer fabric, sculptural peplum/skirt structure"/>
    <x v="21"/>
    <x v="1"/>
    <s v="Basque waist bridal silhouette; Jessica McCormack jewelry with surrealist eye motifs"/>
    <s v="No"/>
    <s v="Low"/>
    <x v="15"/>
    <s v="Vogue"/>
    <s v="Black Saint Laurent guipure-lace gown by Anthony Vaccarello, worn unlined with a basque waist and dramatic lace structure. The look has strong dark bridal and lace-craftsmanship references, but the connection to “Fashion is Art” is more subtle than sculptural or painting-inspired looks."/>
  </r>
  <r>
    <x v="22"/>
    <x v="18"/>
    <x v="18"/>
    <s v="Female"/>
    <s v="White / ivory"/>
    <m/>
    <x v="8"/>
    <s v="Minimalist relaxed tailoring"/>
    <x v="22"/>
    <s v="Soft suiting fabric, sheer/flowing layers, clean matte texture"/>
    <x v="22"/>
    <x v="1"/>
    <s v="Family memory / Jacquemus brand identity"/>
    <s v="No"/>
    <s v="Very low"/>
    <x v="16"/>
    <s v="Vogue"/>
    <s v="Coordinated custom white Jacquemus looks worn by Simon Porte Jacquemus and his grandmother Liline. The styling reflects the designer’s family-centered brand identity and creates an intimate, emotional interpretation of fashion as personal art, though the visual impact is subtle for the Met Gala."/>
  </r>
  <r>
    <x v="23"/>
    <x v="18"/>
    <x v="18"/>
    <s v="Male"/>
    <s v="White / ivory"/>
    <m/>
    <x v="8"/>
    <s v="Minimalist relaxed tailoring"/>
    <x v="22"/>
    <s v="Soft suiting fabric, sheer/flowing layers, clean matte texture"/>
    <x v="22"/>
    <x v="1"/>
    <s v="Family memory / Jacquemus brand identity"/>
    <s v="No"/>
    <s v="Very low"/>
    <x v="16"/>
    <s v="Vogue"/>
    <s v="Coordinated custom white Jacquemus looks worn by Simon Porte Jacquemus and his grandmother Liline. The styling reflects the designer’s family-centered brand identity and creates an intimate, emotional interpretation of fashion as personal art, though the visual impact is subtle for the Met Gala."/>
  </r>
  <r>
    <x v="24"/>
    <x v="19"/>
    <x v="19"/>
    <s v="Female"/>
    <s v="Nude / ivory"/>
    <s v="Gold / beige"/>
    <x v="7"/>
    <s v="Fitted sheer gown with asymmetrical draping"/>
    <x v="23"/>
    <s v="Sheer tulle, distressed texture, feather-like fibers, bejeweled detail"/>
    <x v="23"/>
    <x v="0"/>
    <s v="Bejeweled finger motif; life imitating art"/>
    <s v="Borderline"/>
    <s v="Medium"/>
    <x v="17"/>
    <s v="Vogue"/>
    <s v="Ashi Studio illusion gown with a bejeweled finger motif on the dress, echoed by Getty’s real hand placement. The look plays with the boundary between body, clothing, and artwork, making it a strong conceptual fit for “Fashion is Art.”"/>
  </r>
  <r>
    <x v="25"/>
    <x v="20"/>
    <x v="20"/>
    <s v="Male"/>
    <s v="Multicolor"/>
    <m/>
    <x v="2"/>
    <s v="Tailored tunic with straight-leg trousers"/>
    <x v="24"/>
    <s v="Knit or embroidered diamond-pattern fabric, structured tailoring, wide black belt"/>
    <x v="24"/>
    <x v="2"/>
    <s v="Harlequin / commedia dell’arte-inspired diamond pattern"/>
    <s v="No"/>
    <s v="Low"/>
    <x v="9"/>
    <s v="Vogue"/>
    <s v="Valentino multicolor diamond-pattern look with a black waist sash and tailored trousers. The harlequin-like pattern gives the outfit a theatrical, costume-art quality, while the tailoring keeps it polished and formal."/>
  </r>
  <r>
    <x v="26"/>
    <x v="21"/>
    <x v="21"/>
    <s v="Female"/>
    <s v="Gold / ivory"/>
    <s v="Emerald / yellow"/>
    <x v="11"/>
    <s v="Draped sari with sculptural cape"/>
    <x v="25"/>
    <s v="Gold threads, embroidered fabric, sculptural draping, jewelry embellishment"/>
    <x v="25"/>
    <x v="0"/>
    <s v="Indian sari tradition; fresco-like hand-painted details; mango sculpture accessory"/>
    <s v="Borderline"/>
    <s v="Medium"/>
    <x v="18"/>
    <s v="Vogue"/>
    <s v="Custom Gaurav Gupta gold sari look with sculptural draping, jewelry-heavy styling, and heritage craftsmanship. The look combines Indian sari tradition with couture construction and art-object accessories, making it a strong interpretation of “Fashion is Art.”"/>
  </r>
  <r>
    <x v="27"/>
    <x v="6"/>
    <x v="6"/>
    <s v="Male"/>
    <s v="Black"/>
    <s v="White / silver"/>
    <x v="3"/>
    <s v="Wide-leg tailored trousers with halter top"/>
    <x v="26"/>
    <s v="Polka-dot fabric, tailored wool trousers, long flowing train, brooch details"/>
    <x v="26"/>
    <x v="2"/>
    <s v="Greek or Roman sculpture-inspired drapery"/>
    <s v="No"/>
    <s v="Low"/>
    <x v="19"/>
    <s v="Vogue"/>
    <s v="Saint Laurent look by Anthony Vaccarello with a sleeveless polka-dot halter top, tailored wide-leg trousers, and a long flowing back train. The drapery gives a subtle Greek/Roman sculpture reference, while the halter silhouette creates a gender-fluid take on classic Saint Laurent tailoring."/>
  </r>
  <r>
    <x v="28"/>
    <x v="22"/>
    <x v="22"/>
    <s v="Female"/>
    <s v="Petal pink / blush pink"/>
    <s v="Nude / pink"/>
    <x v="1"/>
    <s v="Off-the-shoulder draped gown with high slit"/>
    <x v="27"/>
    <s v="Draped fabric, voluminous sleeves, structured bodice, soft satin-like texture"/>
    <x v="27"/>
    <x v="2"/>
    <s v="18th-century painting / Thomas Gainsborough-inspired reference"/>
    <s v="No"/>
    <s v="Low"/>
    <x v="14"/>
    <s v="Vogue"/>
    <s v="Custom Altuzarra pink off-the-shoulder gown by Joseph Altuzarra, with dramatic draped sleeves, a high slit, and romantic painterly styling. The look references 18th-century portraiture and classic drapery, but the public vote was low."/>
  </r>
  <r>
    <x v="29"/>
    <x v="23"/>
    <x v="23"/>
    <s v="Female"/>
    <s v="Ivory / pearl white"/>
    <s v="White"/>
    <x v="12"/>
    <s v="Column gown with capelet"/>
    <x v="28"/>
    <s v="Sequins, beading, structured capelet, soft shimmer"/>
    <x v="28"/>
    <x v="2"/>
    <s v="Cello silhouette / musical instrument form"/>
    <s v="No"/>
    <s v="Low"/>
    <x v="20"/>
    <s v="Vogue"/>
    <s v="Pearl-colored Tory Burch column gown with matching capelet, designed to echo the shape of a cello. The look connects fashion, music, and the body, though the visual impact is subtle for the Met Gala."/>
  </r>
  <r>
    <x v="30"/>
    <x v="9"/>
    <x v="9"/>
    <s v="Female"/>
    <s v="White / ivory"/>
    <s v="Grey / silver"/>
    <x v="8"/>
    <s v="Fitted mermaid gown with tulle hem"/>
    <x v="29"/>
    <s v="Glass beads, tulle, beaded marbling, sheer gloves"/>
    <x v="29"/>
    <x v="0"/>
    <s v="Grecian and Roman marble statues / classical sculpture"/>
    <s v="No"/>
    <s v="Very low"/>
    <x v="12"/>
    <s v="Vogue"/>
    <s v="Custom Thom Browne gown inspired by classical Grecian and Roman marble statues. The beading creates a trompe-l’œil marbling effect, making the body appear partly like a classical sculpture."/>
  </r>
  <r>
    <x v="31"/>
    <x v="24"/>
    <x v="24"/>
    <s v="Female"/>
    <s v="Black / sheer black"/>
    <s v="Silver / nude"/>
    <x v="3"/>
    <s v="Sheer fitted gown with train"/>
    <x v="30"/>
    <s v="Sheer tulle, hotfix crystals, patchwork flames, floral embroidery"/>
    <x v="30"/>
    <x v="2"/>
    <s v="Miu Miu Spring 1998 sheer base and Spring 2011 flame/floral embroidery"/>
    <s v="No"/>
    <s v="Low"/>
    <x v="8"/>
    <s v="Vogue"/>
    <s v="Custom Miu Miu sheer gown combining references from Spring 1998 and Spring 2011. The dress uses a transparent base with crystals, flame patches, and floral embroidery, creating a body-focused archival reinterpretation."/>
  </r>
  <r>
    <x v="32"/>
    <x v="13"/>
    <x v="13"/>
    <s v="Female"/>
    <s v="Silver"/>
    <s v="Crystal / grey"/>
    <x v="5"/>
    <s v="Fitted column gown"/>
    <x v="31"/>
    <s v="Crystals, beading, metallic mesh, jeweled collar, hair ornaments"/>
    <x v="31"/>
    <x v="0"/>
    <s v="Venus de Milo; Korean heritage; gisaeng / female courtesan of the Joseon dynasty"/>
    <s v="Borderline"/>
    <s v="Medium / borderline"/>
    <x v="21"/>
    <s v="Vogue"/>
    <s v="Swarovski crystal look inspired by Venus de Milo and Korean heritage, with references to gisaeng, the female courtesans of the Joseon dynasty. The jeweled body and ornate collar connect the look strongly to the “Fashion is Art” theme."/>
  </r>
  <r>
    <x v="33"/>
    <x v="11"/>
    <x v="11"/>
    <s v="Female"/>
    <s v="Green / black"/>
    <s v="Silver / grey"/>
    <x v="13"/>
    <s v="Sculptural mermaid gown"/>
    <x v="32"/>
    <s v="Moss, succulents, electric cables, circuit-board fragments, crystals, recycled elements"/>
    <x v="32"/>
    <x v="4"/>
    <s v="Biocollage of electric cables, moss, succulents, and circuit-board fragments"/>
    <s v="Borderline"/>
    <s v="Medium / borderline"/>
    <x v="22"/>
    <s v="Vogue"/>
    <s v="Custom Christian Siriano look made from moss, succulents, electric cables, circuit-board fragments, crystals, and recycled elements. The concept explores nature overtaking technology and turns the body into a living eco-futurist sculpture."/>
  </r>
  <r>
    <x v="34"/>
    <x v="25"/>
    <x v="25"/>
    <s v="Female"/>
    <s v="White / icy white"/>
    <s v="Silver / nude"/>
    <x v="8"/>
    <s v="Fitted sheer gown with sculptural veil"/>
    <x v="33"/>
    <s v="Sheer tulle, crystals, veil, sculpted 3D arms, sparkling mesh"/>
    <x v="33"/>
    <x v="4"/>
    <s v="Traditional Thai dance positions; 3D-scanned arms"/>
    <s v="Yes"/>
    <s v="High"/>
    <x v="23"/>
    <s v="Vogue"/>
    <s v="Custom Robert Wun gown with a sculptural veil held by 3D-scanned arms based on Lisa’s own body. The arm arrangement references traditional Thai dance positions, making the body, movement, and garment part of one artwork."/>
  </r>
  <r>
    <x v="35"/>
    <x v="24"/>
    <x v="26"/>
    <s v="Female"/>
    <s v="Black / grey"/>
    <s v="Red"/>
    <x v="3"/>
    <s v="Full-skirt dress / tea-length ball gown"/>
    <x v="34"/>
    <s v="Sheer organza/tulle, floral appliqués, structured full skirt"/>
    <x v="34"/>
    <x v="3"/>
    <s v="Rockabilly / mid-century Americana"/>
    <s v="No"/>
    <s v="Low"/>
    <x v="14"/>
    <s v="Vogue"/>
    <s v="Prada look with a full skirt, headband, and retro Americana/rockabilly styling. It has a clear fashion reference, but the connection to “Fashion is Art” is subtle and not very Met Gala-impactful."/>
  </r>
  <r>
    <x v="36"/>
    <x v="9"/>
    <x v="9"/>
    <s v="Male"/>
    <s v="White"/>
    <s v="Black"/>
    <x v="8"/>
    <s v="Straight-leg suit / workwear-inspired suit"/>
    <x v="35"/>
    <s v="Embroidery, structured cotton/wool suit fabric, graphic black stitching"/>
    <x v="35"/>
    <x v="0"/>
    <s v="Skepta’s own tattoos"/>
    <s v="No"/>
    <s v="Low"/>
    <x v="24"/>
    <s v="Vogue"/>
    <s v="Custom Thom Browne white suit embroidered with versions of Skepta’s own tattoos. The look turns body art into garment art, making tailoring function like a canvas for personal history."/>
  </r>
  <r>
    <x v="37"/>
    <x v="26"/>
    <x v="27"/>
    <s v="Female"/>
    <s v="Black"/>
    <s v="Gold"/>
    <x v="3"/>
    <s v="Sculptural gown with exaggerated hat/collar"/>
    <x v="36"/>
    <s v="Glass beads, structured tailoring, sculpted bodice, dramatic hat"/>
    <x v="36"/>
    <x v="4"/>
    <s v="Sculpted gold body / beaded belly-button motif"/>
    <s v="No"/>
    <s v="Low"/>
    <x v="25"/>
    <s v="Vogue"/>
    <s v="Harris Reed demi-couture look with over 400 hours of glass beadwork transformed into a sculpted gold bodice. The black tailoring frames the body like a wearable sculpture, making it one of the strongest theme fits."/>
  </r>
  <r>
    <x v="38"/>
    <x v="27"/>
    <x v="28"/>
    <s v="Female"/>
    <s v="Black"/>
    <s v="Multicolor floral"/>
    <x v="3"/>
    <s v="Strapless ball gown with full skirt"/>
    <x v="37"/>
    <s v="Black satin-like fabric, floral appliqués, embroidery, full structured skirt"/>
    <x v="37"/>
    <x v="2"/>
    <s v="Floral painting / garden bouquet motif"/>
    <s v="No"/>
    <s v="Low"/>
    <x v="0"/>
    <s v="Vogue"/>
    <s v="Custom Dior look by Jonathan Anderson with a black strapless gown covered in colorful floral appliqués. The flowers create a painterly garden effect, making the dress pretty and thematic, though not highly approved by the public vote."/>
  </r>
  <r>
    <x v="39"/>
    <x v="28"/>
    <x v="29"/>
    <s v="Female"/>
    <s v="Navy blue / dark blue"/>
    <s v="Black"/>
    <x v="6"/>
    <s v="Full ball skirt with fitted velvet jacket"/>
    <x v="38"/>
    <s v="Velvet, taffeta-like full skirt, feathered top hat, dark trim"/>
    <x v="38"/>
    <x v="1"/>
    <s v="Historical / Theatrical / Witchy romantic"/>
    <s v="No"/>
    <s v="Very low"/>
    <x v="13"/>
    <s v="Vogue"/>
    <s v="Zara x John Galliano dark blue velvet look with a large full skirt and feathered top hat. The outfit has witchy, steampunk, and theatrical references, but the execution feels heavy and less refined for the Met Gala."/>
  </r>
  <r>
    <x v="40"/>
    <x v="29"/>
    <x v="30"/>
    <s v="Female"/>
    <s v="Black"/>
    <m/>
    <x v="3"/>
    <s v="One-shoulder column gown"/>
    <x v="39"/>
    <s v="Crepe, silk organza stole, feather-like texture"/>
    <x v="39"/>
    <x v="3"/>
    <s v="Classic black eveningwear"/>
    <s v="No"/>
    <s v="Very low"/>
    <x v="26"/>
    <s v="Vogue"/>
    <s v="Simple black Bottega Veneta crepe gown with a silk organza stole. Elegant and classic, but the connection to “Fashion is Art” is subtle and not very concept-driven."/>
  </r>
  <r>
    <x v="41"/>
    <x v="9"/>
    <x v="9"/>
    <s v="Male"/>
    <s v="Black / red"/>
    <s v="Silver"/>
    <x v="3"/>
    <s v="Asymmetrical tailored suit with long coat panel"/>
    <x v="40"/>
    <s v="Sequins, beads, embroidery, structured tailoring"/>
    <x v="40"/>
    <x v="4"/>
    <s v="“Vital Body” from the 2026 Met “Costume Art” exhibition"/>
    <s v="Yes"/>
    <s v="High"/>
    <x v="27"/>
    <s v="Vogue"/>
    <s v="Custom Thom Browne look inspired by the “Vital Body” section of the Costume Art exhibition. One half features over 400,000 sequins and beads representing the circulatory system, making it one of the clearest anatomical interpretations of the theme."/>
  </r>
  <r>
    <x v="42"/>
    <x v="27"/>
    <x v="28"/>
    <s v="Female"/>
    <s v="Pink / pale pink"/>
    <s v="Silver / floral multicolor"/>
    <x v="1"/>
    <s v="Strapless column gown"/>
    <x v="41"/>
    <s v="Gazar, embroidery, floral appliqué, beading, bouquet details"/>
    <x v="41"/>
    <x v="0"/>
    <s v="Dior Impressionism / Monet-inspired garden imagery"/>
    <s v="Yes"/>
    <s v="High"/>
    <x v="28"/>
    <s v="Vogue"/>
    <s v="Custom Dior floral column gown with garden-scene embroidery and bouquet details. The look connects to Dior’s art-historical relationship with Impressionism and creates a soft painterly interpretation of “Fashion is Art.”"/>
  </r>
  <r>
    <x v="43"/>
    <x v="30"/>
    <x v="31"/>
    <s v="Female"/>
    <s v="Nude / cream"/>
    <s v="White / pearl"/>
    <x v="7"/>
    <s v="Sculpted corset with voluminous skirt"/>
    <x v="42"/>
    <s v="Corset, duchess satin, baroque pearls, pearlescent fish scales, embroidery"/>
    <x v="42"/>
    <x v="0"/>
    <s v="Schiaparelli surrealist body illusion; anatomical corsetry"/>
    <s v="No"/>
    <s v="Low"/>
    <x v="15"/>
    <s v="Vogue"/>
    <s v="Custom Schiaparelli look with a nude anatomical corset and heavily embroidered satin skirt. The faux-body construction and surrealist details connect strongly to the “Fashion is Art” theme, though public approval was low."/>
  </r>
  <r>
    <x v="44"/>
    <x v="31"/>
    <x v="32"/>
    <s v="Female"/>
    <s v="Pastel multicolor"/>
    <s v="Blue / peach / cream"/>
    <x v="2"/>
    <s v="Fitted romantic gown with train"/>
    <x v="43"/>
    <s v="Vintage fabrics, lace, embroidery, appliqué, layered textiles"/>
    <x v="43"/>
    <x v="0"/>
    <s v="Garments from the 1920s–1940s"/>
    <s v="Borderline"/>
    <s v="Medium / borderline"/>
    <x v="18"/>
    <s v="Vogue"/>
    <s v="Bureau of Imagination gown by Francesco Risso made from a constellation of vintage garments dating from the 1920s through the 1940s. The look treats fashion history as material for a new artwork."/>
  </r>
  <r>
    <x v="45"/>
    <x v="32"/>
    <x v="33"/>
    <s v="Female"/>
    <s v="Black / nude"/>
    <s v="White"/>
    <x v="3"/>
    <s v="Corseted bustier with feathered skirt and train"/>
    <x v="44"/>
    <s v="Nude tulle, black feathers, structured corset, white faille cape"/>
    <x v="44"/>
    <x v="2"/>
    <s v="Couture reveal performance"/>
    <s v="No"/>
    <s v="Low"/>
    <x v="29"/>
    <s v="Vogue"/>
    <s v="Gucci look with a white faille cape reveal, nude tulle corseted bustier, and black feathered skirt. The reveal adds performance and theatricality, but the concept is less specific than the strongest theme-driven looks."/>
  </r>
  <r>
    <x v="46"/>
    <x v="20"/>
    <x v="20"/>
    <s v="Male"/>
    <s v="Black"/>
    <s v="Silver"/>
    <x v="3"/>
    <s v="Cape look with wide-leg trousers"/>
    <x v="45"/>
    <s v="Lace, crystal fringe, sheer cape, embroidery"/>
    <x v="45"/>
    <x v="2"/>
    <s v="Crowned romantic figure / theatrical cape tradition"/>
    <s v="No"/>
    <s v="Low"/>
    <x v="15"/>
    <s v="Vogue"/>
    <s v="Valentino look with lace, crystal fringe, a cape, and crown-like styling. It has a theatrical and romantic costume quality, but public approval stayed low."/>
  </r>
  <r>
    <x v="47"/>
    <x v="33"/>
    <x v="34"/>
    <s v="Female"/>
    <s v="Black"/>
    <s v="White"/>
    <x v="3"/>
    <s v="Strapless ball gown"/>
    <x v="46"/>
    <s v="Structured fabric, printed/illustrated motifs, full skirt"/>
    <x v="46"/>
    <x v="0"/>
    <s v="John Keats poem “Ode on a Grecian Urn”; illustrations by McGough"/>
    <s v="Yes"/>
    <s v="Medium"/>
    <x v="30"/>
    <s v="Vogue"/>
    <s v="Michael Kors Collection gown made in collaboration with artist Peter McGough, featuring illustrations inspired by John Keats’s poem “Ode on a Grecian Urn.” The black-and-white graphic composition makes the gown feel like wearable illustration."/>
  </r>
  <r>
    <x v="48"/>
    <x v="27"/>
    <x v="28"/>
    <s v="Female"/>
    <s v="Black / silver"/>
    <s v="Sheer black / metallic grey"/>
    <x v="3"/>
    <s v="Asymmetrical sheer gown with slit"/>
    <x v="47"/>
    <s v="Tulle, film strips, sheer fabric, metallic texture, crystal headpiece"/>
    <x v="47"/>
    <x v="4"/>
    <s v="Film strips from Sabrina"/>
    <s v="Yes"/>
    <s v="Medium-high"/>
    <x v="31"/>
    <s v="Vogue"/>
    <s v="Dior tulle gown made of film strips from Sabrina. The look directly connects fashion with cinema and turns film material into wearable art, making it one of the clearest interpretations of the theme."/>
  </r>
  <r>
    <x v="49"/>
    <x v="34"/>
    <x v="35"/>
    <s v="Female"/>
    <s v="Black"/>
    <s v="Sheer black"/>
    <x v="3"/>
    <s v="Draped cutout gown with sheer skirt"/>
    <x v="48"/>
    <s v="Sheer fabric, draped jersey/tulle, soft train"/>
    <x v="48"/>
    <x v="1"/>
    <s v="Human form / draped sculpture"/>
    <s v="No"/>
    <s v="Very low"/>
    <x v="13"/>
    <s v="Vogue"/>
    <s v="Black Carolina Herrera gown that frames the body with asymmetric draping and sheer fabric. It connects to the body-focused theme, but the overall concept is quite minimal compared with stronger Met Gala looks."/>
  </r>
  <r>
    <x v="50"/>
    <x v="33"/>
    <x v="34"/>
    <s v="Female"/>
    <s v="Brown"/>
    <s v="Nude / chocolate"/>
    <x v="14"/>
    <s v="Full tulle skirt with cropped bodice"/>
    <x v="49"/>
    <s v="Tulle, leather-like bodice, soft pleated layers"/>
    <x v="49"/>
    <x v="2"/>
    <s v="Ballet / ballerina costume"/>
    <s v="No"/>
    <s v="Very low"/>
    <x v="32"/>
    <s v="Vogue"/>
    <s v="Michael Kors Collection look referencing Misty Copeland’s ballet background, with a soft tulle skirt and structured cropped bodice. The personal dance connection is strong, but visually the look is more understated than expected for the Met Gala."/>
  </r>
  <r>
    <x v="51"/>
    <x v="35"/>
    <x v="36"/>
    <s v="Male"/>
    <s v="Black"/>
    <s v="Silver / white"/>
    <x v="3"/>
    <s v="Tailored jacket with slim trousers"/>
    <x v="50"/>
    <s v="Crystals, beading, structured tailoring, velvet/satin trousers"/>
    <x v="50"/>
    <x v="3"/>
    <s v="Geometric crystal pattern"/>
    <s v="No"/>
    <s v="Very low"/>
    <x v="16"/>
    <s v="Vogue"/>
    <s v="Black LaQuan Smith tailored look with a crystal-patterned jacket. The embellishment adds visual interest, but the concept is fairly simple for the “Fashion is Art” theme."/>
  </r>
  <r>
    <x v="52"/>
    <x v="1"/>
    <x v="1"/>
    <s v="Female"/>
    <s v="Gold / nude"/>
    <s v="Multicolor / cream"/>
    <x v="11"/>
    <s v="Fitted gown with chiffon skirt"/>
    <x v="51"/>
    <s v="Golden lace, nude chiffon, crystals, sequins, chains, embroidery"/>
    <x v="51"/>
    <x v="2"/>
    <s v="Chanel couture embroidery"/>
    <s v="Borderline"/>
    <s v="Medium "/>
    <x v="33"/>
    <s v="Vogue"/>
    <s v="Chanel gown with golden lace, nude chiffon, crystals, sequins, and chains. The look emphasizes couture craftsmanship and delicate ornamentation, though the public vote is exactly split."/>
  </r>
  <r>
    <x v="53"/>
    <x v="9"/>
    <x v="9"/>
    <s v="Female"/>
    <s v="Black"/>
    <s v="Pink / white"/>
    <x v="3"/>
    <s v="Fitted maternity gown with train"/>
    <x v="52"/>
    <s v="Tulle, lace, floral appliqués, layered texture, sheer panels"/>
    <x v="52"/>
    <x v="4"/>
    <s v="“Pregnant Body” theme from the Costume Art exhibition"/>
    <s v="Borderline"/>
    <s v="Medium-low"/>
    <x v="34"/>
    <s v="Vogue"/>
    <s v="Thom Browne maternity couture look referencing the “Pregnant Body” theme from the Costume Art exhibition. The black layered gown with floral appliqués makes pregnancy central to the fashion statement."/>
  </r>
  <r>
    <x v="54"/>
    <x v="36"/>
    <x v="37"/>
    <s v="Female"/>
    <s v="Ivory / cream"/>
    <s v="Beige"/>
    <x v="12"/>
    <s v="Draped Grecian gown with train"/>
    <x v="53"/>
    <s v="Tea-dyed jersey, molded leather, chiffon, organza"/>
    <x v="53"/>
    <x v="0"/>
    <s v="Winged Victory of Samothrace"/>
    <s v="Borderline"/>
    <s v="Medium-low"/>
    <x v="35"/>
    <s v="Vogue"/>
    <s v="Custom Gap look by Zac Posen inspired by Winged Victory of Samothrace. The draping and molded bodice turn a simple T-shirt reference into a classical sculptural gown."/>
  </r>
  <r>
    <x v="55"/>
    <x v="37"/>
    <x v="38"/>
    <s v="Female"/>
    <s v="Black"/>
    <m/>
    <x v="3"/>
    <s v="Fitted gown with leather jacket and train"/>
    <x v="54"/>
    <s v="Leather, lace, sheer fabric, tulle train"/>
    <x v="54"/>
    <x v="1"/>
    <s v="Cher’s 1974 Met dress by Bob Mackie"/>
    <s v="No"/>
    <s v="Very low"/>
    <x v="5"/>
    <s v="Vogue"/>
    <s v="Black Burberry look referencing Cher’s 1974 Bob Mackie Met dress. The leather and lace styling gives it a gothic rock feel, but the theme connection is mostly archival and subtle."/>
  </r>
  <r>
    <x v="56"/>
    <x v="38"/>
    <x v="39"/>
    <s v="Female"/>
    <s v="Black"/>
    <m/>
    <x v="3"/>
    <s v="Structural hooded ball gown"/>
    <x v="55"/>
    <s v="Structured taffeta-like fabric, ruched bodice, dramatic hood, gloves"/>
    <x v="55"/>
    <x v="4"/>
    <s v="Black Madonna / religious iconography / couture sculpture"/>
    <s v="Yes"/>
    <s v="Medium-high"/>
    <x v="36"/>
    <s v="Vogue"/>
    <s v="Custom Balenciaga sculptural black gown with a dramatic hooded structure. The look transforms Anok Yai into an icon-like figure and has strong visual impact, making it one of the clearest high-fashion interpretations of “Fashion is Art.”"/>
  </r>
  <r>
    <x v="57"/>
    <x v="39"/>
    <x v="40"/>
    <s v="Female"/>
    <s v="Black"/>
    <m/>
    <x v="3"/>
    <s v="Fitted leather gown with cage overskirt"/>
    <x v="56"/>
    <s v="Leather, leather flowers, cage structure, glossy surface"/>
    <x v="56"/>
    <x v="4"/>
    <s v="Flower cage / sculptural overskirt"/>
    <s v="No"/>
    <s v="Low"/>
    <x v="4"/>
    <s v="Vogue"/>
    <s v="Black Louis Vuitton leather gown with a cage-structured overskirt covered in leather flowers. The look feels like wearable sculpture, though public approval was low."/>
  </r>
  <r>
    <x v="58"/>
    <x v="6"/>
    <x v="6"/>
    <s v="Female"/>
    <s v="Black"/>
    <s v="Grey / navy"/>
    <x v="3"/>
    <s v="Column gown with dramatic veil/headpiece"/>
    <x v="57"/>
    <s v="Silk, tulle, resin, dramatic veil, gloves"/>
    <x v="57"/>
    <x v="0"/>
    <s v="Madonna’s “Like a Virgin” / “Confessions” era visual language"/>
    <s v="Borderline"/>
    <s v="Medium-low"/>
    <x v="37"/>
    <s v="Vogue"/>
    <s v="Saint Laurent look by Anthony Vaccarello with a dramatic veil, black gown, gloves, and theatrical styling. It strongly connects to Madonna’s own visual history and performance iconography."/>
  </r>
  <r>
    <x v="59"/>
    <x v="40"/>
    <x v="41"/>
    <s v="Female"/>
    <s v="Peach / pastel pink"/>
    <s v="Peach / pastel pink"/>
    <x v="1"/>
    <s v="Ball gown with corset bodice and large train"/>
    <x v="58"/>
    <s v="Tulle, layered ruffles, corset bodice, pastel train"/>
    <x v="58"/>
    <x v="0"/>
    <s v="18th-century Venetian Rococo paintings; archival Versace 2006"/>
    <s v="Borderline"/>
    <s v="Medium-low"/>
    <x v="22"/>
    <s v="Vogue"/>
    <s v="Archival Versace gown from 2006, updated with a dramatic 13-foot train. The pastel layers and corseted shape reference 18th-century Rococo painting and romantic historical fashion."/>
  </r>
  <r>
    <x v="60"/>
    <x v="24"/>
    <x v="26"/>
    <s v="Male"/>
    <s v="Black"/>
    <s v="Red"/>
    <x v="3"/>
    <s v="Oversized leather coat with straight trousers"/>
    <x v="59"/>
    <s v="Leather, poplin shirt, oversized cuffs"/>
    <x v="59"/>
    <x v="5"/>
    <s v="Classic Prada menswear / utilitarian leather coat"/>
    <s v="No"/>
    <s v="Very low"/>
    <x v="12"/>
    <s v="Vogue"/>
    <s v="Prada leather look with oversized coat, leather pants, and red shirt cuffs. The outfit is polished, but the concept is very subtle for the “Fashion is Art” theme."/>
  </r>
  <r>
    <x v="61"/>
    <x v="41"/>
    <x v="42"/>
    <s v="Female"/>
    <s v="White"/>
    <s v="Silver"/>
    <x v="8"/>
    <s v="Corseted bodice with puffed tulip skirt"/>
    <x v="60"/>
    <s v="Structured corset, puffed fabric, satin-like texture"/>
    <x v="60"/>
    <x v="2"/>
    <s v="Edgar Degas ballerina sculpture; upside-down tulip"/>
    <s v="No"/>
    <s v="Very low"/>
    <x v="38"/>
    <s v="Vogue"/>
    <s v="Brandon Blackwood look inspired by Edgar Degas’s ballerina sculpture and the idea of an upside-down tulip. The sculptural skirt connects to the theme, but the public approval was very low."/>
  </r>
  <r>
    <x v="62"/>
    <x v="42"/>
    <x v="43"/>
    <s v="Female"/>
    <s v="Red"/>
    <s v="Silver / multicolor"/>
    <x v="4"/>
    <s v="Fitted column gown with fringe hem"/>
    <x v="61"/>
    <s v="Embroidery, fringe, floral details, embellished fabric"/>
    <x v="61"/>
    <x v="2"/>
    <s v="Floral embroidery and artisanal fashion"/>
    <s v="No"/>
    <s v="Low"/>
    <x v="19"/>
    <s v="Vogue"/>
    <s v="Givenchy look by Sarah Burton with floral embroidery and fringe, celebrating artistry in fashion through surface detail and handcraft."/>
  </r>
  <r>
    <x v="63"/>
    <x v="43"/>
    <x v="44"/>
    <s v="Male"/>
    <s v="Mint green"/>
    <s v="Cream / pastel"/>
    <x v="13"/>
    <s v="Classic tailored suit"/>
    <x v="62"/>
    <s v="Silk-wool, hand-painted details, embroidery"/>
    <x v="62"/>
    <x v="0"/>
    <s v="Georges Seurat, A Sunday Afternoon on the Island of La Grande Jatte"/>
    <s v="No"/>
    <s v="Low"/>
    <x v="39"/>
    <s v="Vogue"/>
    <s v="Hand-painted and embroidered Tanner Fletcher suit inspired by Georges Seurat’s A Sunday Afternoon on the Island of La Grande Jatte, which is featured in the Costume Art exhibition. Strong theme fit despite low public approval."/>
  </r>
  <r>
    <x v="64"/>
    <x v="30"/>
    <x v="31"/>
    <s v="Female"/>
    <s v="Navy blue"/>
    <s v="Silver"/>
    <x v="6"/>
    <s v="Fitted satin gown"/>
    <x v="63"/>
    <s v="Satin, off-shoulder neckline, brooch detail"/>
    <x v="63"/>
    <x v="2"/>
    <s v="John Singer Sargent’s Madame X"/>
    <s v="No"/>
    <s v="Very low"/>
    <x v="38"/>
    <s v="Vogue"/>
    <s v="Schiaparelli gown inspired by John Singer Sargent’s Madame X, including the slipped-strap reference. The concept is art-historical, but the execution was not well received by voters."/>
  </r>
  <r>
    <x v="65"/>
    <x v="12"/>
    <x v="12"/>
    <s v="Female"/>
    <s v="Pale blue"/>
    <s v="Silver / white"/>
    <x v="6"/>
    <s v="Straight column gown"/>
    <x v="64"/>
    <s v="Wispy fabric, shimmer, delicate embellishment"/>
    <x v="64"/>
    <x v="3"/>
    <s v="Minimal modern eveningwear"/>
    <s v="No"/>
    <s v="Very low"/>
    <x v="12"/>
    <s v="Vogue"/>
    <s v="Pale blue Loewe column dress with a wispy, delicate texture and unexpected leggings underneath. Pretty, but conceptually very subtle for the “Fashion is Art” theme."/>
  </r>
  <r>
    <x v="66"/>
    <x v="44"/>
    <x v="45"/>
    <s v="Female"/>
    <s v="Silver / grey"/>
    <s v="Ivory"/>
    <x v="5"/>
    <s v="Corseted mini dress with long train"/>
    <x v="65"/>
    <s v="Metal hardware, chainmail effect, corset, chiffon train, ruff collar"/>
    <x v="65"/>
    <x v="0"/>
    <s v="Medieval chainmail and ruff collar"/>
    <s v="No"/>
    <s v="Low"/>
    <x v="40"/>
    <s v="Vogue"/>
    <s v="Dilara Findikoglu chainmail-inspired look with metal hardware, corsetry, chiffon train, and a ruff collar. The look turns medieval armour references into wearable fashion art."/>
  </r>
  <r>
    <x v="67"/>
    <x v="24"/>
    <x v="26"/>
    <s v="Female"/>
    <s v="White / ivory"/>
    <s v="Blue / grey / pink"/>
    <x v="8"/>
    <s v="Fitted gown with dramatic train"/>
    <x v="66"/>
    <s v="Soft fabric, printed textile, sculptural cutouts, long train"/>
    <x v="66"/>
    <x v="4"/>
    <s v="Klimt’s Mäda Primavesi 1912/1913"/>
    <s v="Borderline"/>
    <s v="Medium / borderline"/>
    <x v="41"/>
    <s v="Vogue"/>
    <s v="Custom Prada look inspired by Klimt’s Mäda Primavesi. The floral train, soft color palette, and artistic textile effect make the gown feel like a delicate painting translated into fashion. Strong theme fit despite being under 50% in the vo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CE72B-C3CE-44F8-BA46-8083DD43C41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6:L28" firstHeaderRow="1" firstDataRow="1" firstDataCol="1"/>
  <pivotFields count="18">
    <pivotField dataField="1" showAll="0"/>
    <pivotField showAll="0"/>
    <pivotField showAll="0"/>
    <pivotField showAll="0"/>
    <pivotField showAll="0"/>
    <pivotField showAll="0"/>
    <pivotField axis="axisRow" showAll="0" measureFilter="1">
      <items count="16">
        <item x="3"/>
        <item x="6"/>
        <item x="14"/>
        <item x="9"/>
        <item x="11"/>
        <item x="13"/>
        <item x="0"/>
        <item x="12"/>
        <item x="2"/>
        <item x="7"/>
        <item x="10"/>
        <item x="1"/>
        <item x="4"/>
        <item x="5"/>
        <item x="8"/>
        <item t="default"/>
      </items>
    </pivotField>
    <pivotField showAll="0"/>
    <pivotField showAll="0"/>
    <pivotField showAll="0"/>
    <pivotField showAll="0"/>
    <pivotField showAll="0"/>
    <pivotField showAll="0"/>
    <pivotField showAll="0"/>
    <pivotField showAll="0"/>
    <pivotField numFmtId="9" showAll="0"/>
    <pivotField showAll="0"/>
    <pivotField showAll="0"/>
  </pivotFields>
  <rowFields count="1">
    <field x="6"/>
  </rowFields>
  <rowItems count="12">
    <i>
      <x/>
    </i>
    <i>
      <x v="1"/>
    </i>
    <i>
      <x v="4"/>
    </i>
    <i>
      <x v="5"/>
    </i>
    <i>
      <x v="7"/>
    </i>
    <i>
      <x v="8"/>
    </i>
    <i>
      <x v="9"/>
    </i>
    <i>
      <x v="11"/>
    </i>
    <i>
      <x v="12"/>
    </i>
    <i>
      <x v="13"/>
    </i>
    <i>
      <x v="14"/>
    </i>
    <i t="grand">
      <x/>
    </i>
  </rowItems>
  <colItems count="1">
    <i/>
  </colItems>
  <dataFields count="1">
    <dataField name="Count of Celebrity"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5670D-1B4C-4918-91D2-ABBAE3488C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6:F30" firstHeaderRow="1" firstDataRow="1" firstDataCol="1"/>
  <pivotFields count="18">
    <pivotField dataField="1" showAll="0"/>
    <pivotField showAll="0"/>
    <pivotField axis="axisRow" showAll="0" measureFilter="1">
      <items count="47">
        <item x="14"/>
        <item x="22"/>
        <item x="19"/>
        <item x="39"/>
        <item x="5"/>
        <item x="17"/>
        <item x="30"/>
        <item x="42"/>
        <item x="38"/>
        <item x="32"/>
        <item x="35"/>
        <item x="1"/>
        <item x="11"/>
        <item x="16"/>
        <item x="7"/>
        <item x="45"/>
        <item x="28"/>
        <item x="8"/>
        <item x="37"/>
        <item x="21"/>
        <item x="4"/>
        <item x="43"/>
        <item x="33"/>
        <item x="27"/>
        <item x="18"/>
        <item x="36"/>
        <item x="12"/>
        <item x="40"/>
        <item x="0"/>
        <item x="34"/>
        <item x="24"/>
        <item x="2"/>
        <item x="15"/>
        <item x="26"/>
        <item x="10"/>
        <item x="25"/>
        <item x="6"/>
        <item x="31"/>
        <item x="13"/>
        <item x="44"/>
        <item x="9"/>
        <item x="23"/>
        <item x="20"/>
        <item x="41"/>
        <item x="3"/>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s>
  <rowFields count="1">
    <field x="2"/>
  </rowFields>
  <rowItems count="14">
    <i>
      <x v="11"/>
    </i>
    <i>
      <x v="12"/>
    </i>
    <i>
      <x v="16"/>
    </i>
    <i>
      <x v="24"/>
    </i>
    <i>
      <x v="26"/>
    </i>
    <i>
      <x v="29"/>
    </i>
    <i>
      <x v="32"/>
    </i>
    <i>
      <x v="33"/>
    </i>
    <i>
      <x v="36"/>
    </i>
    <i>
      <x v="37"/>
    </i>
    <i>
      <x v="38"/>
    </i>
    <i>
      <x v="40"/>
    </i>
    <i>
      <x v="42"/>
    </i>
    <i t="grand">
      <x/>
    </i>
  </rowItems>
  <colItems count="1">
    <i/>
  </colItems>
  <dataFields count="1">
    <dataField name="Count of Celebrity" fld="0" subtotal="count"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36C60-6EE6-4CFF-AB27-F824387B4F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6:U21"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numFmtId="9" showAll="0"/>
    <pivotField showAll="0"/>
    <pivotField showAll="0"/>
    <pivotField showAll="0"/>
  </pivotFields>
  <rowFields count="1">
    <field x="14"/>
  </rowFields>
  <rowItems count="5">
    <i>
      <x/>
    </i>
    <i>
      <x v="1"/>
    </i>
    <i>
      <x v="2"/>
    </i>
    <i>
      <x v="3"/>
    </i>
    <i t="grand">
      <x/>
    </i>
  </rowItems>
  <colItems count="1">
    <i/>
  </colItems>
  <dataFields count="1">
    <dataField name="Count of Celebri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9676A-2ED6-4B79-B8F0-E905BA5A3FF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O84" firstHeaderRow="1" firstDataRow="1" firstDataCol="1"/>
  <pivotFields count="18">
    <pivotField dataField="1" showAll="0"/>
    <pivotField showAll="0"/>
    <pivotField showAll="0"/>
    <pivotField showAll="0"/>
    <pivotField showAll="0"/>
    <pivotField showAll="0"/>
    <pivotField showAll="0"/>
    <pivotField showAll="0"/>
    <pivotField axis="axisRow" showAll="0">
      <items count="68">
        <item x="42"/>
        <item x="40"/>
        <item x="58"/>
        <item x="49"/>
        <item x="65"/>
        <item x="63"/>
        <item x="24"/>
        <item x="22"/>
        <item x="12"/>
        <item x="45"/>
        <item x="31"/>
        <item x="15"/>
        <item x="19"/>
        <item x="27"/>
        <item x="32"/>
        <item x="50"/>
        <item x="51"/>
        <item x="10"/>
        <item x="47"/>
        <item x="61"/>
        <item x="41"/>
        <item x="37"/>
        <item x="26"/>
        <item x="57"/>
        <item x="54"/>
        <item x="46"/>
        <item x="53"/>
        <item x="2"/>
        <item x="43"/>
        <item x="23"/>
        <item x="56"/>
        <item x="59"/>
        <item x="52"/>
        <item x="18"/>
        <item x="64"/>
        <item x="48"/>
        <item x="39"/>
        <item x="28"/>
        <item x="13"/>
        <item x="30"/>
        <item x="5"/>
        <item x="8"/>
        <item x="62"/>
        <item x="66"/>
        <item x="17"/>
        <item x="34"/>
        <item x="44"/>
        <item x="55"/>
        <item x="16"/>
        <item x="36"/>
        <item x="0"/>
        <item x="6"/>
        <item x="33"/>
        <item x="60"/>
        <item x="25"/>
        <item x="11"/>
        <item x="21"/>
        <item x="1"/>
        <item x="3"/>
        <item x="14"/>
        <item x="35"/>
        <item x="4"/>
        <item x="9"/>
        <item x="29"/>
        <item x="20"/>
        <item x="7"/>
        <item x="38"/>
        <item t="default"/>
      </items>
    </pivotField>
    <pivotField showAll="0"/>
    <pivotField showAll="0"/>
    <pivotField showAll="0"/>
    <pivotField showAll="0"/>
    <pivotField showAll="0"/>
    <pivotField showAll="0"/>
    <pivotField numFmtId="9" showAll="0"/>
    <pivotField showAll="0"/>
    <pivotField showAll="0"/>
  </pivotFields>
  <rowFields count="1">
    <field x="8"/>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Count of Celebri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230AD-A620-4D57-B118-F0D11FB03C2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30" firstHeaderRow="1" firstDataRow="1" firstDataCol="1"/>
  <pivotFields count="18">
    <pivotField dataField="1" showAll="0"/>
    <pivotField axis="axisRow" showAll="0" measureFilter="1">
      <items count="46">
        <item x="20"/>
        <item x="14"/>
        <item x="6"/>
        <item x="41"/>
        <item x="11"/>
        <item x="37"/>
        <item x="30"/>
        <item x="32"/>
        <item x="44"/>
        <item x="7"/>
        <item x="40"/>
        <item x="8"/>
        <item x="17"/>
        <item x="31"/>
        <item x="21"/>
        <item x="4"/>
        <item x="13"/>
        <item x="0"/>
        <item x="26"/>
        <item x="16"/>
        <item x="12"/>
        <item x="28"/>
        <item x="27"/>
        <item x="22"/>
        <item x="35"/>
        <item x="29"/>
        <item x="1"/>
        <item x="33"/>
        <item x="2"/>
        <item x="24"/>
        <item x="19"/>
        <item x="39"/>
        <item x="5"/>
        <item x="38"/>
        <item x="15"/>
        <item x="10"/>
        <item x="25"/>
        <item x="42"/>
        <item x="18"/>
        <item x="43"/>
        <item x="9"/>
        <item x="23"/>
        <item x="3"/>
        <item x="34"/>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s>
  <rowFields count="1">
    <field x="1"/>
  </rowFields>
  <rowItems count="14">
    <i>
      <x/>
    </i>
    <i>
      <x v="2"/>
    </i>
    <i>
      <x v="4"/>
    </i>
    <i>
      <x v="6"/>
    </i>
    <i>
      <x v="16"/>
    </i>
    <i>
      <x v="20"/>
    </i>
    <i>
      <x v="22"/>
    </i>
    <i>
      <x v="26"/>
    </i>
    <i>
      <x v="27"/>
    </i>
    <i>
      <x v="29"/>
    </i>
    <i>
      <x v="34"/>
    </i>
    <i>
      <x v="38"/>
    </i>
    <i>
      <x v="40"/>
    </i>
    <i t="grand">
      <x/>
    </i>
  </rowItems>
  <colItems count="1">
    <i/>
  </colItems>
  <dataFields count="1">
    <dataField name="Count of Celebrity" fld="0"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CB891B-056C-460A-8E2C-6F955DB24AC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5:R32"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
        <item x="0"/>
        <item x="5"/>
        <item x="3"/>
        <item x="1"/>
        <item x="2"/>
        <item x="4"/>
        <item t="default"/>
      </items>
    </pivotField>
    <pivotField showAll="0"/>
    <pivotField showAll="0"/>
    <pivotField showAll="0"/>
    <pivotField dataField="1" numFmtId="9" showAll="0"/>
    <pivotField showAll="0"/>
    <pivotField showAll="0"/>
  </pivotFields>
  <rowFields count="1">
    <field x="11"/>
  </rowFields>
  <rowItems count="7">
    <i>
      <x/>
    </i>
    <i>
      <x v="1"/>
    </i>
    <i>
      <x v="2"/>
    </i>
    <i>
      <x v="3"/>
    </i>
    <i>
      <x v="4"/>
    </i>
    <i>
      <x v="5"/>
    </i>
    <i t="grand">
      <x/>
    </i>
  </rowItems>
  <colItems count="1">
    <i/>
  </colItems>
  <dataFields count="1">
    <dataField name="Average of Vote Yes Percent" fld="15" subtotal="average" baseField="1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42685-46A0-4120-BFB8-C9094E3ABFD4}"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44" firstHeaderRow="1" firstDataRow="1" firstDataCol="1"/>
  <pivotFields count="18">
    <pivotField axis="axisRow" showAll="0" measureFilter="1">
      <items count="69">
        <item x="1"/>
        <item x="19"/>
        <item x="53"/>
        <item x="45"/>
        <item x="28"/>
        <item x="17"/>
        <item x="47"/>
        <item x="56"/>
        <item x="7"/>
        <item x="51"/>
        <item x="62"/>
        <item x="63"/>
        <item x="5"/>
        <item x="59"/>
        <item x="10"/>
        <item x="9"/>
        <item x="55"/>
        <item x="25"/>
        <item x="27"/>
        <item x="60"/>
        <item x="32"/>
        <item x="2"/>
        <item x="31"/>
        <item x="52"/>
        <item x="4"/>
        <item x="6"/>
        <item x="57"/>
        <item x="67"/>
        <item x="26"/>
        <item x="65"/>
        <item x="33"/>
        <item x="3"/>
        <item x="42"/>
        <item x="8"/>
        <item x="40"/>
        <item x="54"/>
        <item x="16"/>
        <item x="41"/>
        <item x="43"/>
        <item x="29"/>
        <item x="64"/>
        <item x="18"/>
        <item x="22"/>
        <item x="30"/>
        <item x="34"/>
        <item x="66"/>
        <item x="58"/>
        <item x="35"/>
        <item x="50"/>
        <item x="38"/>
        <item x="11"/>
        <item x="44"/>
        <item x="14"/>
        <item x="0"/>
        <item x="24"/>
        <item x="48"/>
        <item x="13"/>
        <item x="23"/>
        <item x="12"/>
        <item x="36"/>
        <item x="46"/>
        <item x="39"/>
        <item x="20"/>
        <item x="61"/>
        <item x="15"/>
        <item x="49"/>
        <item x="37"/>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s>
  <rowFields count="1">
    <field x="0"/>
  </rowFields>
  <rowItems count="11">
    <i>
      <x v="6"/>
    </i>
    <i>
      <x v="7"/>
    </i>
    <i>
      <x v="12"/>
    </i>
    <i>
      <x v="15"/>
    </i>
    <i>
      <x v="21"/>
    </i>
    <i>
      <x v="32"/>
    </i>
    <i>
      <x v="37"/>
    </i>
    <i>
      <x v="44"/>
    </i>
    <i>
      <x v="55"/>
    </i>
    <i>
      <x v="62"/>
    </i>
    <i t="grand">
      <x/>
    </i>
  </rowItems>
  <colItems count="1">
    <i/>
  </colItems>
  <dataFields count="1">
    <dataField name="Max. of Vote Yes Percent" fld="15" subtotal="max"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7AA805-9CCB-40B1-842C-FD54BF0C6E6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16:R23"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0"/>
        <item x="5"/>
        <item x="3"/>
        <item x="1"/>
        <item x="2"/>
        <item x="4"/>
        <item t="default"/>
      </items>
    </pivotField>
    <pivotField showAll="0"/>
    <pivotField showAll="0"/>
    <pivotField showAll="0"/>
    <pivotField numFmtId="9" showAll="0"/>
    <pivotField showAll="0"/>
    <pivotField showAll="0"/>
  </pivotFields>
  <rowFields count="1">
    <field x="11"/>
  </rowFields>
  <rowItems count="7">
    <i>
      <x/>
    </i>
    <i>
      <x v="1"/>
    </i>
    <i>
      <x v="2"/>
    </i>
    <i>
      <x v="3"/>
    </i>
    <i>
      <x v="4"/>
    </i>
    <i>
      <x v="5"/>
    </i>
    <i t="grand">
      <x/>
    </i>
  </rowItems>
  <colItems count="1">
    <i/>
  </colItems>
  <dataFields count="1">
    <dataField name="Count of Celebri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E9488-34E7-4C18-B565-A782F80D2666}" name="dataset_metgala_26" displayName="dataset_metgala_26" ref="B1:S69" totalsRowShown="0" headerRowDxfId="4">
  <autoFilter ref="B1:S69" xr:uid="{B4D2621D-40B6-4CAC-9C12-D3AA7340D8FB}"/>
  <tableColumns count="18">
    <tableColumn id="1" xr3:uid="{B8E988F4-3863-4C8F-84F6-296EBB81BBFB}" name="Celebrity"/>
    <tableColumn id="2" xr3:uid="{E6D0C414-F159-4605-A829-1CD6A4C6A7B1}" name="Designer"/>
    <tableColumn id="3" xr3:uid="{1C49F6A8-F9A5-4AD5-9C87-D43860E4B4E3}" name="Fashion house"/>
    <tableColumn id="4" xr3:uid="{BA2B1FF3-0E75-47BE-90B1-2E33B0C43781}" name="Gender presentation"/>
    <tableColumn id="5" xr3:uid="{A3DCE27C-60AF-49FC-A569-149FF1F9D762}" name="Primary color"/>
    <tableColumn id="6" xr3:uid="{2CFB0A5D-D803-4B50-9EC0-6F4EF5BB24C6}" name="Secondary color"/>
    <tableColumn id="7" xr3:uid="{496BA030-E231-49B4-A6FC-6C63C62EC070}" name="Color group"/>
    <tableColumn id="8" xr3:uid="{417385ED-0339-440F-AC09-04F1A832B43A}" name="Silhouette"/>
    <tableColumn id="9" xr3:uid="{329406D7-0AB1-45EE-9227-F083DD69598A}" name="Look category"/>
    <tableColumn id="10" xr3:uid="{1A8DB75E-1AC6-479A-B823-A372B5CAADC4}" name="Material or texture" dataDxfId="3"/>
    <tableColumn id="11" xr3:uid="{C972B44B-187F-46A2-9060-0C4CA5215D51}" name="Theme interpretation" dataDxfId="2"/>
    <tableColumn id="12" xr3:uid="{5F0CF647-894F-4D1C-95AC-698C026D279A}" name="Theme fit"/>
    <tableColumn id="13" xr3:uid="{A750A03E-42E8-418F-9F13-99C04E1BFFCD}" name="Art reference"/>
    <tableColumn id="14" xr3:uid="{C6D135F0-84EA-42B1-9D0F-AFB68FB487A3}" name="Best dressed"/>
    <tableColumn id="15" xr3:uid="{27E6C219-BA53-43B5-BED2-AF9417ED5407}" name="Public approval"/>
    <tableColumn id="16" xr3:uid="{BEF7C765-3E75-4139-B814-B1D4B01501FB}" name="Vote Yes Percent" dataDxfId="1"/>
    <tableColumn id="17" xr3:uid="{B850A4E3-7E23-41B0-B559-FB14E6B707C3}" name="Media source"/>
    <tableColumn id="18" xr3:uid="{C4DB6A10-D066-458B-8F51-4EFB1BBCE338}" name="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621D-40B6-4CAC-9C12-D3AA7340D8FB}">
  <dimension ref="B1:S69"/>
  <sheetViews>
    <sheetView topLeftCell="N1" zoomScale="60" zoomScaleNormal="60" workbookViewId="0">
      <pane ySplit="1" topLeftCell="A2" activePane="bottomLeft" state="frozen"/>
      <selection activeCell="S1" sqref="S1"/>
      <selection pane="bottomLeft" activeCell="F4" sqref="F4"/>
    </sheetView>
  </sheetViews>
  <sheetFormatPr defaultRowHeight="14.4" x14ac:dyDescent="0.3"/>
  <cols>
    <col min="2" max="2" width="25.44140625" bestFit="1" customWidth="1"/>
    <col min="3" max="3" width="41.44140625" bestFit="1" customWidth="1"/>
    <col min="4" max="4" width="30.44140625" customWidth="1"/>
    <col min="5" max="5" width="26.33203125" customWidth="1"/>
    <col min="6" max="6" width="26" bestFit="1" customWidth="1"/>
    <col min="7" max="7" width="31.21875" bestFit="1" customWidth="1"/>
    <col min="8" max="8" width="18.77734375" bestFit="1" customWidth="1"/>
    <col min="9" max="9" width="50.6640625" bestFit="1" customWidth="1"/>
    <col min="10" max="10" width="60.6640625" bestFit="1" customWidth="1"/>
    <col min="11" max="11" width="94.33203125" bestFit="1" customWidth="1"/>
    <col min="12" max="12" width="62.109375" bestFit="1" customWidth="1"/>
    <col min="13" max="13" width="16.21875" bestFit="1" customWidth="1"/>
    <col min="14" max="14" width="109.5546875" bestFit="1" customWidth="1"/>
    <col min="15" max="15" width="20.33203125" bestFit="1" customWidth="1"/>
    <col min="16" max="16" width="23.6640625" bestFit="1" customWidth="1"/>
    <col min="17" max="17" width="25.109375" bestFit="1" customWidth="1"/>
    <col min="18" max="18" width="20.6640625" bestFit="1" customWidth="1"/>
    <col min="19" max="19" width="255.77734375" bestFit="1" customWidth="1"/>
    <col min="22" max="22" width="35.44140625" bestFit="1" customWidth="1"/>
  </cols>
  <sheetData>
    <row r="1" spans="2:19" x14ac:dyDescent="0.3">
      <c r="B1" s="31" t="s">
        <v>13</v>
      </c>
      <c r="C1" s="31" t="s">
        <v>14</v>
      </c>
      <c r="D1" s="31" t="s">
        <v>15</v>
      </c>
      <c r="E1" s="31" t="s">
        <v>16</v>
      </c>
      <c r="F1" s="31" t="s">
        <v>17</v>
      </c>
      <c r="G1" s="31" t="s">
        <v>18</v>
      </c>
      <c r="H1" s="31" t="s">
        <v>669</v>
      </c>
      <c r="I1" s="31" t="s">
        <v>19</v>
      </c>
      <c r="J1" s="31" t="s">
        <v>20</v>
      </c>
      <c r="K1" s="31" t="s">
        <v>21</v>
      </c>
      <c r="L1" s="31" t="s">
        <v>22</v>
      </c>
      <c r="M1" s="31" t="s">
        <v>41</v>
      </c>
      <c r="N1" s="31" t="s">
        <v>23</v>
      </c>
      <c r="O1" s="31" t="s">
        <v>24</v>
      </c>
      <c r="P1" s="31" t="s">
        <v>80</v>
      </c>
      <c r="Q1" s="31" t="s">
        <v>37</v>
      </c>
      <c r="R1" s="31" t="s">
        <v>25</v>
      </c>
      <c r="S1" s="31" t="s">
        <v>26</v>
      </c>
    </row>
    <row r="2" spans="2:19" x14ac:dyDescent="0.3">
      <c r="B2" t="s">
        <v>7</v>
      </c>
      <c r="C2" t="s">
        <v>43</v>
      </c>
      <c r="D2" t="s">
        <v>8</v>
      </c>
      <c r="E2" t="s">
        <v>9</v>
      </c>
      <c r="F2" t="s">
        <v>10</v>
      </c>
      <c r="G2" t="s">
        <v>11</v>
      </c>
      <c r="H2" t="s">
        <v>670</v>
      </c>
      <c r="I2" t="s">
        <v>653</v>
      </c>
      <c r="J2" t="s">
        <v>654</v>
      </c>
      <c r="K2" t="s">
        <v>44</v>
      </c>
      <c r="L2" t="s">
        <v>3</v>
      </c>
      <c r="M2" t="s">
        <v>46</v>
      </c>
      <c r="N2" t="s">
        <v>45</v>
      </c>
      <c r="O2" t="s">
        <v>27</v>
      </c>
      <c r="P2" t="s">
        <v>81</v>
      </c>
      <c r="Q2" s="1">
        <v>0.36</v>
      </c>
      <c r="R2" t="s">
        <v>12</v>
      </c>
      <c r="S2" s="24" t="s">
        <v>47</v>
      </c>
    </row>
    <row r="3" spans="2:19" x14ac:dyDescent="0.3">
      <c r="B3" t="s">
        <v>28</v>
      </c>
      <c r="C3" t="s">
        <v>30</v>
      </c>
      <c r="D3" t="s">
        <v>29</v>
      </c>
      <c r="E3" t="s">
        <v>31</v>
      </c>
      <c r="F3" t="s">
        <v>32</v>
      </c>
      <c r="G3" t="s">
        <v>33</v>
      </c>
      <c r="H3" t="s">
        <v>32</v>
      </c>
      <c r="I3" t="s">
        <v>34</v>
      </c>
      <c r="J3" t="s">
        <v>35</v>
      </c>
      <c r="K3" t="s">
        <v>39</v>
      </c>
      <c r="L3" t="s">
        <v>40</v>
      </c>
      <c r="M3" t="s">
        <v>42</v>
      </c>
      <c r="N3" t="s">
        <v>36</v>
      </c>
      <c r="O3" t="s">
        <v>27</v>
      </c>
      <c r="P3" t="s">
        <v>81</v>
      </c>
      <c r="Q3" s="1">
        <v>0.36</v>
      </c>
      <c r="R3" t="s">
        <v>12</v>
      </c>
      <c r="S3" s="34" t="s">
        <v>38</v>
      </c>
    </row>
    <row r="4" spans="2:19" x14ac:dyDescent="0.3">
      <c r="B4" t="s">
        <v>48</v>
      </c>
      <c r="C4" t="s">
        <v>49</v>
      </c>
      <c r="D4" t="s">
        <v>50</v>
      </c>
      <c r="E4" t="s">
        <v>9</v>
      </c>
      <c r="F4" t="s">
        <v>51</v>
      </c>
      <c r="G4" t="s">
        <v>52</v>
      </c>
      <c r="H4" t="s">
        <v>129</v>
      </c>
      <c r="I4" t="s">
        <v>53</v>
      </c>
      <c r="J4" t="s">
        <v>54</v>
      </c>
      <c r="K4" t="s">
        <v>55</v>
      </c>
      <c r="L4" t="s">
        <v>56</v>
      </c>
      <c r="M4" t="s">
        <v>46</v>
      </c>
      <c r="N4" t="s">
        <v>57</v>
      </c>
      <c r="O4" t="s">
        <v>58</v>
      </c>
      <c r="P4" t="s">
        <v>113</v>
      </c>
      <c r="Q4" s="1">
        <v>0.67</v>
      </c>
      <c r="R4" t="s">
        <v>12</v>
      </c>
      <c r="S4" s="2" t="s">
        <v>59</v>
      </c>
    </row>
    <row r="5" spans="2:19" x14ac:dyDescent="0.3">
      <c r="B5" t="s">
        <v>60</v>
      </c>
      <c r="C5" t="s">
        <v>61</v>
      </c>
      <c r="D5" t="s">
        <v>61</v>
      </c>
      <c r="E5" t="s">
        <v>31</v>
      </c>
      <c r="F5" t="s">
        <v>62</v>
      </c>
      <c r="G5" t="s">
        <v>63</v>
      </c>
      <c r="H5" t="s">
        <v>62</v>
      </c>
      <c r="I5" t="s">
        <v>64</v>
      </c>
      <c r="J5" t="s">
        <v>65</v>
      </c>
      <c r="K5" t="s">
        <v>66</v>
      </c>
      <c r="L5" t="s">
        <v>67</v>
      </c>
      <c r="M5" t="s">
        <v>42</v>
      </c>
      <c r="N5" t="s">
        <v>68</v>
      </c>
      <c r="O5" t="s">
        <v>27</v>
      </c>
      <c r="P5" t="s">
        <v>81</v>
      </c>
      <c r="Q5" s="1">
        <v>0.34</v>
      </c>
      <c r="R5" t="s">
        <v>12</v>
      </c>
      <c r="S5" s="24" t="s">
        <v>69</v>
      </c>
    </row>
    <row r="6" spans="2:19" x14ac:dyDescent="0.3">
      <c r="B6" t="s">
        <v>70</v>
      </c>
      <c r="C6" t="s">
        <v>71</v>
      </c>
      <c r="D6" t="s">
        <v>71</v>
      </c>
      <c r="E6" t="s">
        <v>9</v>
      </c>
      <c r="F6" t="s">
        <v>72</v>
      </c>
      <c r="G6" t="s">
        <v>73</v>
      </c>
      <c r="H6" t="s">
        <v>72</v>
      </c>
      <c r="I6" t="s">
        <v>74</v>
      </c>
      <c r="J6" t="s">
        <v>75</v>
      </c>
      <c r="K6" t="s">
        <v>76</v>
      </c>
      <c r="L6" t="s">
        <v>77</v>
      </c>
      <c r="M6" t="s">
        <v>46</v>
      </c>
      <c r="N6" t="s">
        <v>78</v>
      </c>
      <c r="O6" t="s">
        <v>27</v>
      </c>
      <c r="P6" t="s">
        <v>81</v>
      </c>
      <c r="Q6" s="1">
        <v>0.36</v>
      </c>
      <c r="R6" t="s">
        <v>12</v>
      </c>
      <c r="S6" s="24" t="s">
        <v>79</v>
      </c>
    </row>
    <row r="7" spans="2:19" x14ac:dyDescent="0.3">
      <c r="B7" t="s">
        <v>82</v>
      </c>
      <c r="C7" t="s">
        <v>83</v>
      </c>
      <c r="D7" t="s">
        <v>84</v>
      </c>
      <c r="E7" t="s">
        <v>9</v>
      </c>
      <c r="F7" t="s">
        <v>85</v>
      </c>
      <c r="G7" t="s">
        <v>86</v>
      </c>
      <c r="H7" t="s">
        <v>108</v>
      </c>
      <c r="I7" t="s">
        <v>87</v>
      </c>
      <c r="J7" t="s">
        <v>88</v>
      </c>
      <c r="K7" t="s">
        <v>89</v>
      </c>
      <c r="L7" t="s">
        <v>90</v>
      </c>
      <c r="M7" t="s">
        <v>46</v>
      </c>
      <c r="N7" t="s">
        <v>91</v>
      </c>
      <c r="O7" t="s">
        <v>58</v>
      </c>
      <c r="P7" t="s">
        <v>42</v>
      </c>
      <c r="Q7" s="1">
        <v>0.52</v>
      </c>
      <c r="R7" t="s">
        <v>12</v>
      </c>
      <c r="S7" s="24" t="s">
        <v>92</v>
      </c>
    </row>
    <row r="8" spans="2:19" x14ac:dyDescent="0.3">
      <c r="B8" t="s">
        <v>93</v>
      </c>
      <c r="C8" t="s">
        <v>94</v>
      </c>
      <c r="D8" t="s">
        <v>95</v>
      </c>
      <c r="E8" t="s">
        <v>9</v>
      </c>
      <c r="F8" t="s">
        <v>96</v>
      </c>
      <c r="G8" t="s">
        <v>97</v>
      </c>
      <c r="H8" t="s">
        <v>672</v>
      </c>
      <c r="I8" t="s">
        <v>98</v>
      </c>
      <c r="J8" t="s">
        <v>99</v>
      </c>
      <c r="K8" t="s">
        <v>100</v>
      </c>
      <c r="L8" t="s">
        <v>101</v>
      </c>
      <c r="M8" t="s">
        <v>46</v>
      </c>
      <c r="N8" t="s">
        <v>102</v>
      </c>
      <c r="O8" t="s">
        <v>27</v>
      </c>
      <c r="P8" t="s">
        <v>81</v>
      </c>
      <c r="Q8" s="1">
        <v>0.33</v>
      </c>
      <c r="R8" t="s">
        <v>12</v>
      </c>
      <c r="S8" s="24" t="s">
        <v>103</v>
      </c>
    </row>
    <row r="9" spans="2:19" x14ac:dyDescent="0.3">
      <c r="B9" t="s">
        <v>104</v>
      </c>
      <c r="C9" t="s">
        <v>105</v>
      </c>
      <c r="D9" t="s">
        <v>106</v>
      </c>
      <c r="E9" t="s">
        <v>9</v>
      </c>
      <c r="F9" t="s">
        <v>107</v>
      </c>
      <c r="G9" t="s">
        <v>108</v>
      </c>
      <c r="H9" t="s">
        <v>671</v>
      </c>
      <c r="I9" t="s">
        <v>109</v>
      </c>
      <c r="J9" t="s">
        <v>110</v>
      </c>
      <c r="K9" t="s">
        <v>111</v>
      </c>
      <c r="L9" t="s">
        <v>112</v>
      </c>
      <c r="M9" t="s">
        <v>113</v>
      </c>
      <c r="N9" t="s">
        <v>114</v>
      </c>
      <c r="O9" t="s">
        <v>27</v>
      </c>
      <c r="P9" t="s">
        <v>81</v>
      </c>
      <c r="Q9" s="1">
        <v>0.1</v>
      </c>
      <c r="R9" t="s">
        <v>12</v>
      </c>
      <c r="S9" s="24" t="s">
        <v>115</v>
      </c>
    </row>
    <row r="10" spans="2:19" x14ac:dyDescent="0.3">
      <c r="B10" t="s">
        <v>116</v>
      </c>
      <c r="C10" t="s">
        <v>117</v>
      </c>
      <c r="D10" t="s">
        <v>118</v>
      </c>
      <c r="E10" t="s">
        <v>31</v>
      </c>
      <c r="F10" t="s">
        <v>119</v>
      </c>
      <c r="G10" t="s">
        <v>120</v>
      </c>
      <c r="H10" t="s">
        <v>305</v>
      </c>
      <c r="I10" t="s">
        <v>121</v>
      </c>
      <c r="J10" t="s">
        <v>122</v>
      </c>
      <c r="K10" t="s">
        <v>123</v>
      </c>
      <c r="L10" t="s">
        <v>124</v>
      </c>
      <c r="M10" t="s">
        <v>42</v>
      </c>
      <c r="N10" t="s">
        <v>125</v>
      </c>
      <c r="O10" t="s">
        <v>27</v>
      </c>
      <c r="P10" t="s">
        <v>81</v>
      </c>
      <c r="Q10" s="1">
        <v>0.18</v>
      </c>
      <c r="R10" t="s">
        <v>12</v>
      </c>
      <c r="S10" s="24" t="s">
        <v>126</v>
      </c>
    </row>
    <row r="11" spans="2:19" x14ac:dyDescent="0.3">
      <c r="B11" t="s">
        <v>127</v>
      </c>
      <c r="C11" t="s">
        <v>128</v>
      </c>
      <c r="D11" t="s">
        <v>128</v>
      </c>
      <c r="E11" t="s">
        <v>9</v>
      </c>
      <c r="F11" t="s">
        <v>129</v>
      </c>
      <c r="H11" t="s">
        <v>129</v>
      </c>
      <c r="I11" t="s">
        <v>130</v>
      </c>
      <c r="J11" t="s">
        <v>131</v>
      </c>
      <c r="K11" t="s">
        <v>132</v>
      </c>
      <c r="L11" t="s">
        <v>133</v>
      </c>
      <c r="M11" t="s">
        <v>46</v>
      </c>
      <c r="N11" t="s">
        <v>134</v>
      </c>
      <c r="O11" t="s">
        <v>58</v>
      </c>
      <c r="P11" t="s">
        <v>42</v>
      </c>
      <c r="Q11" s="1">
        <v>0.55000000000000004</v>
      </c>
      <c r="R11" t="s">
        <v>12</v>
      </c>
      <c r="S11" s="24" t="s">
        <v>135</v>
      </c>
    </row>
    <row r="12" spans="2:19" x14ac:dyDescent="0.3">
      <c r="B12" t="s">
        <v>136</v>
      </c>
      <c r="C12" t="s">
        <v>137</v>
      </c>
      <c r="D12" t="s">
        <v>137</v>
      </c>
      <c r="E12" t="s">
        <v>9</v>
      </c>
      <c r="F12" t="s">
        <v>62</v>
      </c>
      <c r="G12" t="s">
        <v>138</v>
      </c>
      <c r="H12" t="s">
        <v>62</v>
      </c>
      <c r="I12" t="s">
        <v>139</v>
      </c>
      <c r="J12" t="s">
        <v>140</v>
      </c>
      <c r="K12" t="s">
        <v>141</v>
      </c>
      <c r="L12" t="s">
        <v>142</v>
      </c>
      <c r="M12" t="s">
        <v>143</v>
      </c>
      <c r="N12" t="s">
        <v>144</v>
      </c>
      <c r="O12" t="s">
        <v>27</v>
      </c>
      <c r="P12" t="s">
        <v>81</v>
      </c>
      <c r="Q12" s="1">
        <v>0.22</v>
      </c>
      <c r="R12" t="s">
        <v>12</v>
      </c>
      <c r="S12" s="24" t="s">
        <v>145</v>
      </c>
    </row>
    <row r="13" spans="2:19" x14ac:dyDescent="0.3">
      <c r="B13" t="s">
        <v>146</v>
      </c>
      <c r="C13" t="s">
        <v>30</v>
      </c>
      <c r="D13" t="s">
        <v>29</v>
      </c>
      <c r="E13" t="s">
        <v>9</v>
      </c>
      <c r="F13" t="s">
        <v>147</v>
      </c>
      <c r="G13" t="s">
        <v>72</v>
      </c>
      <c r="H13" t="s">
        <v>72</v>
      </c>
      <c r="I13" t="s">
        <v>148</v>
      </c>
      <c r="J13" t="s">
        <v>149</v>
      </c>
      <c r="K13" t="s">
        <v>150</v>
      </c>
      <c r="L13" t="s">
        <v>151</v>
      </c>
      <c r="M13" t="s">
        <v>42</v>
      </c>
      <c r="N13" t="s">
        <v>152</v>
      </c>
      <c r="O13" t="s">
        <v>27</v>
      </c>
      <c r="P13" t="s">
        <v>81</v>
      </c>
      <c r="Q13" s="1">
        <v>0.24</v>
      </c>
      <c r="R13" t="s">
        <v>12</v>
      </c>
      <c r="S13" s="24" t="s">
        <v>153</v>
      </c>
    </row>
    <row r="14" spans="2:19" x14ac:dyDescent="0.3">
      <c r="B14" t="s">
        <v>154</v>
      </c>
      <c r="C14" t="s">
        <v>155</v>
      </c>
      <c r="D14" t="s">
        <v>155</v>
      </c>
      <c r="E14" t="s">
        <v>9</v>
      </c>
      <c r="F14" t="s">
        <v>62</v>
      </c>
      <c r="H14" t="s">
        <v>62</v>
      </c>
      <c r="I14" t="s">
        <v>156</v>
      </c>
      <c r="J14" t="s">
        <v>157</v>
      </c>
      <c r="K14" t="s">
        <v>158</v>
      </c>
      <c r="L14" t="s">
        <v>159</v>
      </c>
      <c r="M14" t="s">
        <v>46</v>
      </c>
      <c r="N14" t="s">
        <v>160</v>
      </c>
      <c r="O14" t="s">
        <v>27</v>
      </c>
      <c r="P14" t="s">
        <v>81</v>
      </c>
      <c r="Q14" s="1">
        <v>0.21</v>
      </c>
      <c r="R14" t="s">
        <v>12</v>
      </c>
      <c r="S14" s="24" t="s">
        <v>161</v>
      </c>
    </row>
    <row r="15" spans="2:19" x14ac:dyDescent="0.3">
      <c r="B15" t="s">
        <v>162</v>
      </c>
      <c r="C15" t="s">
        <v>163</v>
      </c>
      <c r="D15" t="s">
        <v>164</v>
      </c>
      <c r="E15" t="s">
        <v>9</v>
      </c>
      <c r="F15" t="s">
        <v>165</v>
      </c>
      <c r="H15" t="s">
        <v>674</v>
      </c>
      <c r="I15" t="s">
        <v>166</v>
      </c>
      <c r="J15" t="s">
        <v>167</v>
      </c>
      <c r="K15" t="s">
        <v>168</v>
      </c>
      <c r="L15" t="s">
        <v>169</v>
      </c>
      <c r="M15" t="s">
        <v>42</v>
      </c>
      <c r="N15" t="s">
        <v>170</v>
      </c>
      <c r="O15" t="s">
        <v>27</v>
      </c>
      <c r="P15" t="s">
        <v>172</v>
      </c>
      <c r="Q15" s="1">
        <v>0.08</v>
      </c>
      <c r="R15" t="s">
        <v>12</v>
      </c>
      <c r="S15" s="24" t="s">
        <v>171</v>
      </c>
    </row>
    <row r="16" spans="2:19" x14ac:dyDescent="0.3">
      <c r="B16" t="s">
        <v>173</v>
      </c>
      <c r="C16" t="s">
        <v>94</v>
      </c>
      <c r="D16" t="s">
        <v>95</v>
      </c>
      <c r="E16" t="s">
        <v>31</v>
      </c>
      <c r="F16" t="s">
        <v>62</v>
      </c>
      <c r="H16" t="s">
        <v>62</v>
      </c>
      <c r="I16" t="s">
        <v>174</v>
      </c>
      <c r="J16" t="s">
        <v>175</v>
      </c>
      <c r="K16" s="24" t="s">
        <v>176</v>
      </c>
      <c r="L16" s="24" t="s">
        <v>177</v>
      </c>
      <c r="M16" t="s">
        <v>143</v>
      </c>
      <c r="N16" t="s">
        <v>178</v>
      </c>
      <c r="O16" t="s">
        <v>27</v>
      </c>
      <c r="P16" t="s">
        <v>172</v>
      </c>
      <c r="Q16" s="1">
        <v>0.12</v>
      </c>
      <c r="R16" t="s">
        <v>12</v>
      </c>
      <c r="S16" s="24" t="s">
        <v>179</v>
      </c>
    </row>
    <row r="17" spans="2:19" x14ac:dyDescent="0.3">
      <c r="B17" t="s">
        <v>180</v>
      </c>
      <c r="C17" t="s">
        <v>181</v>
      </c>
      <c r="D17" t="s">
        <v>182</v>
      </c>
      <c r="E17" t="s">
        <v>9</v>
      </c>
      <c r="F17" t="s">
        <v>62</v>
      </c>
      <c r="G17" t="s">
        <v>183</v>
      </c>
      <c r="H17" t="s">
        <v>62</v>
      </c>
      <c r="I17" t="s">
        <v>184</v>
      </c>
      <c r="J17" t="s">
        <v>185</v>
      </c>
      <c r="K17" s="24" t="s">
        <v>186</v>
      </c>
      <c r="L17" s="24" t="s">
        <v>187</v>
      </c>
      <c r="M17" t="s">
        <v>46</v>
      </c>
      <c r="N17" t="s">
        <v>188</v>
      </c>
      <c r="O17" t="s">
        <v>27</v>
      </c>
      <c r="P17" t="s">
        <v>81</v>
      </c>
      <c r="Q17" s="1">
        <v>0.18</v>
      </c>
      <c r="R17" t="s">
        <v>12</v>
      </c>
      <c r="S17" s="24" t="s">
        <v>189</v>
      </c>
    </row>
    <row r="18" spans="2:19" x14ac:dyDescent="0.3">
      <c r="B18" t="s">
        <v>190</v>
      </c>
      <c r="C18" t="s">
        <v>191</v>
      </c>
      <c r="D18" t="s">
        <v>191</v>
      </c>
      <c r="E18" t="s">
        <v>9</v>
      </c>
      <c r="F18" t="s">
        <v>192</v>
      </c>
      <c r="G18" t="s">
        <v>193</v>
      </c>
      <c r="H18" t="s">
        <v>675</v>
      </c>
      <c r="I18" t="s">
        <v>194</v>
      </c>
      <c r="J18" t="s">
        <v>195</v>
      </c>
      <c r="K18" s="24" t="s">
        <v>196</v>
      </c>
      <c r="L18" s="24" t="s">
        <v>197</v>
      </c>
      <c r="M18" t="s">
        <v>46</v>
      </c>
      <c r="N18" t="s">
        <v>198</v>
      </c>
      <c r="O18" t="s">
        <v>27</v>
      </c>
      <c r="P18" t="s">
        <v>81</v>
      </c>
      <c r="Q18" s="1">
        <v>0.18</v>
      </c>
      <c r="R18" t="s">
        <v>12</v>
      </c>
      <c r="S18" s="24" t="s">
        <v>199</v>
      </c>
    </row>
    <row r="19" spans="2:19" x14ac:dyDescent="0.3">
      <c r="B19" t="s">
        <v>200</v>
      </c>
      <c r="C19" t="s">
        <v>201</v>
      </c>
      <c r="D19" t="s">
        <v>201</v>
      </c>
      <c r="E19" t="s">
        <v>9</v>
      </c>
      <c r="F19" t="s">
        <v>32</v>
      </c>
      <c r="G19" t="s">
        <v>202</v>
      </c>
      <c r="H19" t="s">
        <v>32</v>
      </c>
      <c r="I19" t="s">
        <v>203</v>
      </c>
      <c r="J19" t="s">
        <v>204</v>
      </c>
      <c r="K19" s="24" t="s">
        <v>205</v>
      </c>
      <c r="L19" s="24" t="s">
        <v>206</v>
      </c>
      <c r="M19" t="s">
        <v>46</v>
      </c>
      <c r="N19" t="s">
        <v>207</v>
      </c>
      <c r="O19" t="s">
        <v>27</v>
      </c>
      <c r="P19" t="s">
        <v>172</v>
      </c>
      <c r="Q19" s="1">
        <v>0.15</v>
      </c>
      <c r="R19" t="s">
        <v>12</v>
      </c>
      <c r="S19" s="24" t="s">
        <v>208</v>
      </c>
    </row>
    <row r="20" spans="2:19" x14ac:dyDescent="0.3">
      <c r="B20" t="s">
        <v>209</v>
      </c>
      <c r="C20" t="s">
        <v>201</v>
      </c>
      <c r="D20" t="s">
        <v>201</v>
      </c>
      <c r="E20" t="s">
        <v>9</v>
      </c>
      <c r="F20" t="s">
        <v>97</v>
      </c>
      <c r="G20" t="s">
        <v>62</v>
      </c>
      <c r="H20" t="s">
        <v>97</v>
      </c>
      <c r="I20" t="s">
        <v>210</v>
      </c>
      <c r="J20" t="s">
        <v>211</v>
      </c>
      <c r="K20" s="24" t="s">
        <v>212</v>
      </c>
      <c r="L20" s="24" t="s">
        <v>213</v>
      </c>
      <c r="M20" t="s">
        <v>113</v>
      </c>
      <c r="N20" t="s">
        <v>214</v>
      </c>
      <c r="O20" t="s">
        <v>27</v>
      </c>
      <c r="P20" t="s">
        <v>81</v>
      </c>
      <c r="Q20" s="1">
        <v>0.24</v>
      </c>
      <c r="R20" t="s">
        <v>12</v>
      </c>
      <c r="S20" s="24" t="s">
        <v>215</v>
      </c>
    </row>
    <row r="21" spans="2:19" x14ac:dyDescent="0.3">
      <c r="B21" t="s">
        <v>216</v>
      </c>
      <c r="C21" t="s">
        <v>217</v>
      </c>
      <c r="D21" t="s">
        <v>218</v>
      </c>
      <c r="E21" t="s">
        <v>9</v>
      </c>
      <c r="F21" t="s">
        <v>62</v>
      </c>
      <c r="H21" t="s">
        <v>62</v>
      </c>
      <c r="I21" t="s">
        <v>219</v>
      </c>
      <c r="J21" t="s">
        <v>220</v>
      </c>
      <c r="K21" s="24" t="s">
        <v>221</v>
      </c>
      <c r="L21" s="24" t="s">
        <v>222</v>
      </c>
      <c r="M21" t="s">
        <v>46</v>
      </c>
      <c r="N21" t="s">
        <v>223</v>
      </c>
      <c r="O21" t="s">
        <v>27</v>
      </c>
      <c r="P21" t="s">
        <v>81</v>
      </c>
      <c r="Q21" s="1">
        <v>0.17</v>
      </c>
      <c r="R21" t="s">
        <v>12</v>
      </c>
      <c r="S21" s="24" t="s">
        <v>224</v>
      </c>
    </row>
    <row r="22" spans="2:19" ht="28.8" x14ac:dyDescent="0.3">
      <c r="B22" t="s">
        <v>225</v>
      </c>
      <c r="C22" t="s">
        <v>226</v>
      </c>
      <c r="D22" t="s">
        <v>227</v>
      </c>
      <c r="E22" t="s">
        <v>9</v>
      </c>
      <c r="F22" t="s">
        <v>228</v>
      </c>
      <c r="G22" t="s">
        <v>229</v>
      </c>
      <c r="H22" t="s">
        <v>129</v>
      </c>
      <c r="I22" t="s">
        <v>230</v>
      </c>
      <c r="J22" t="s">
        <v>231</v>
      </c>
      <c r="K22" s="24" t="s">
        <v>232</v>
      </c>
      <c r="L22" s="24" t="s">
        <v>233</v>
      </c>
      <c r="M22" t="s">
        <v>46</v>
      </c>
      <c r="N22" t="s">
        <v>234</v>
      </c>
      <c r="O22" t="s">
        <v>58</v>
      </c>
      <c r="P22" t="s">
        <v>42</v>
      </c>
      <c r="Q22" s="1">
        <v>0.55000000000000004</v>
      </c>
      <c r="R22" t="s">
        <v>12</v>
      </c>
      <c r="S22" s="24" t="s">
        <v>235</v>
      </c>
    </row>
    <row r="23" spans="2:19" x14ac:dyDescent="0.3">
      <c r="B23" t="s">
        <v>236</v>
      </c>
      <c r="C23" t="s">
        <v>94</v>
      </c>
      <c r="D23" t="s">
        <v>95</v>
      </c>
      <c r="E23" t="s">
        <v>9</v>
      </c>
      <c r="F23" t="s">
        <v>62</v>
      </c>
      <c r="G23" t="s">
        <v>138</v>
      </c>
      <c r="H23" t="s">
        <v>62</v>
      </c>
      <c r="I23" t="s">
        <v>237</v>
      </c>
      <c r="J23" t="s">
        <v>238</v>
      </c>
      <c r="K23" s="24" t="s">
        <v>239</v>
      </c>
      <c r="L23" s="24" t="s">
        <v>240</v>
      </c>
      <c r="M23" t="s">
        <v>42</v>
      </c>
      <c r="N23" t="s">
        <v>241</v>
      </c>
      <c r="O23" t="s">
        <v>27</v>
      </c>
      <c r="P23" t="s">
        <v>81</v>
      </c>
      <c r="Q23" s="1">
        <v>0.31</v>
      </c>
      <c r="R23" t="s">
        <v>12</v>
      </c>
      <c r="S23" s="24" t="s">
        <v>242</v>
      </c>
    </row>
    <row r="24" spans="2:19" x14ac:dyDescent="0.3">
      <c r="B24" t="s">
        <v>243</v>
      </c>
      <c r="C24" t="s">
        <v>244</v>
      </c>
      <c r="D24" t="s">
        <v>245</v>
      </c>
      <c r="E24" t="s">
        <v>9</v>
      </c>
      <c r="F24" t="s">
        <v>119</v>
      </c>
      <c r="H24" t="s">
        <v>305</v>
      </c>
      <c r="I24" t="s">
        <v>246</v>
      </c>
      <c r="J24" t="s">
        <v>247</v>
      </c>
      <c r="K24" s="24" t="s">
        <v>248</v>
      </c>
      <c r="L24" s="24" t="s">
        <v>249</v>
      </c>
      <c r="M24" t="s">
        <v>42</v>
      </c>
      <c r="N24" t="s">
        <v>250</v>
      </c>
      <c r="O24" t="s">
        <v>27</v>
      </c>
      <c r="P24" t="s">
        <v>172</v>
      </c>
      <c r="Q24" s="1">
        <v>0.14000000000000001</v>
      </c>
      <c r="R24" t="s">
        <v>12</v>
      </c>
      <c r="S24" s="24" t="s">
        <v>251</v>
      </c>
    </row>
    <row r="25" spans="2:19" x14ac:dyDescent="0.3">
      <c r="B25" t="s">
        <v>244</v>
      </c>
      <c r="C25" t="s">
        <v>244</v>
      </c>
      <c r="D25" t="s">
        <v>245</v>
      </c>
      <c r="E25" t="s">
        <v>31</v>
      </c>
      <c r="F25" t="s">
        <v>119</v>
      </c>
      <c r="H25" t="s">
        <v>305</v>
      </c>
      <c r="I25" t="s">
        <v>246</v>
      </c>
      <c r="J25" t="s">
        <v>247</v>
      </c>
      <c r="K25" s="24" t="s">
        <v>248</v>
      </c>
      <c r="L25" s="24" t="s">
        <v>249</v>
      </c>
      <c r="M25" t="s">
        <v>42</v>
      </c>
      <c r="N25" t="s">
        <v>250</v>
      </c>
      <c r="O25" t="s">
        <v>27</v>
      </c>
      <c r="P25" t="s">
        <v>172</v>
      </c>
      <c r="Q25" s="1">
        <v>0.14000000000000001</v>
      </c>
      <c r="R25" t="s">
        <v>12</v>
      </c>
      <c r="S25" s="24" t="s">
        <v>251</v>
      </c>
    </row>
    <row r="26" spans="2:19" x14ac:dyDescent="0.3">
      <c r="B26" t="s">
        <v>252</v>
      </c>
      <c r="C26" t="s">
        <v>253</v>
      </c>
      <c r="D26" t="s">
        <v>254</v>
      </c>
      <c r="E26" t="s">
        <v>9</v>
      </c>
      <c r="F26" t="s">
        <v>255</v>
      </c>
      <c r="G26" t="s">
        <v>256</v>
      </c>
      <c r="H26" t="s">
        <v>671</v>
      </c>
      <c r="I26" t="s">
        <v>257</v>
      </c>
      <c r="J26" t="s">
        <v>258</v>
      </c>
      <c r="K26" s="24" t="s">
        <v>259</v>
      </c>
      <c r="L26" s="24" t="s">
        <v>260</v>
      </c>
      <c r="M26" t="s">
        <v>46</v>
      </c>
      <c r="N26" t="s">
        <v>261</v>
      </c>
      <c r="O26" t="s">
        <v>262</v>
      </c>
      <c r="P26" t="s">
        <v>42</v>
      </c>
      <c r="Q26" s="1">
        <v>0.49</v>
      </c>
      <c r="R26" t="s">
        <v>12</v>
      </c>
      <c r="S26" s="24" t="s">
        <v>263</v>
      </c>
    </row>
    <row r="27" spans="2:19" x14ac:dyDescent="0.3">
      <c r="B27" t="s">
        <v>264</v>
      </c>
      <c r="C27" t="s">
        <v>265</v>
      </c>
      <c r="D27" t="s">
        <v>266</v>
      </c>
      <c r="E27" t="s">
        <v>31</v>
      </c>
      <c r="F27" t="s">
        <v>129</v>
      </c>
      <c r="H27" t="s">
        <v>129</v>
      </c>
      <c r="I27" t="s">
        <v>267</v>
      </c>
      <c r="J27" t="s">
        <v>268</v>
      </c>
      <c r="K27" s="24" t="s">
        <v>269</v>
      </c>
      <c r="L27" s="24" t="s">
        <v>270</v>
      </c>
      <c r="M27" t="s">
        <v>113</v>
      </c>
      <c r="N27" t="s">
        <v>271</v>
      </c>
      <c r="O27" t="s">
        <v>27</v>
      </c>
      <c r="P27" t="s">
        <v>81</v>
      </c>
      <c r="Q27" s="1">
        <v>0.24</v>
      </c>
      <c r="R27" t="s">
        <v>12</v>
      </c>
      <c r="S27" s="24" t="s">
        <v>272</v>
      </c>
    </row>
    <row r="28" spans="2:19" x14ac:dyDescent="0.3">
      <c r="B28" t="s">
        <v>273</v>
      </c>
      <c r="C28" t="s">
        <v>274</v>
      </c>
      <c r="D28" t="s">
        <v>274</v>
      </c>
      <c r="E28" t="s">
        <v>9</v>
      </c>
      <c r="F28" t="s">
        <v>275</v>
      </c>
      <c r="G28" t="s">
        <v>276</v>
      </c>
      <c r="H28" t="s">
        <v>97</v>
      </c>
      <c r="I28" t="s">
        <v>277</v>
      </c>
      <c r="J28" t="s">
        <v>278</v>
      </c>
      <c r="K28" s="24" t="s">
        <v>279</v>
      </c>
      <c r="L28" s="24" t="s">
        <v>280</v>
      </c>
      <c r="M28" t="s">
        <v>46</v>
      </c>
      <c r="N28" t="s">
        <v>281</v>
      </c>
      <c r="O28" t="s">
        <v>262</v>
      </c>
      <c r="P28" t="s">
        <v>42</v>
      </c>
      <c r="Q28" s="1">
        <v>0.48</v>
      </c>
      <c r="R28" t="s">
        <v>12</v>
      </c>
      <c r="S28" s="24" t="s">
        <v>282</v>
      </c>
    </row>
    <row r="29" spans="2:19" x14ac:dyDescent="0.3">
      <c r="B29" t="s">
        <v>283</v>
      </c>
      <c r="C29" t="s">
        <v>94</v>
      </c>
      <c r="D29" t="s">
        <v>95</v>
      </c>
      <c r="E29" t="s">
        <v>31</v>
      </c>
      <c r="F29" t="s">
        <v>62</v>
      </c>
      <c r="G29" t="s">
        <v>284</v>
      </c>
      <c r="H29" t="s">
        <v>62</v>
      </c>
      <c r="I29" t="s">
        <v>285</v>
      </c>
      <c r="J29" t="s">
        <v>286</v>
      </c>
      <c r="K29" s="24" t="s">
        <v>287</v>
      </c>
      <c r="L29" s="24" t="s">
        <v>288</v>
      </c>
      <c r="M29" t="s">
        <v>113</v>
      </c>
      <c r="N29" t="s">
        <v>289</v>
      </c>
      <c r="O29" t="s">
        <v>27</v>
      </c>
      <c r="P29" t="s">
        <v>81</v>
      </c>
      <c r="Q29" s="1">
        <v>0.26</v>
      </c>
      <c r="R29" t="s">
        <v>12</v>
      </c>
      <c r="S29" s="24" t="s">
        <v>290</v>
      </c>
    </row>
    <row r="30" spans="2:19" x14ac:dyDescent="0.3">
      <c r="B30" t="s">
        <v>291</v>
      </c>
      <c r="C30" t="s">
        <v>292</v>
      </c>
      <c r="D30" t="s">
        <v>293</v>
      </c>
      <c r="E30" t="s">
        <v>9</v>
      </c>
      <c r="F30" t="s">
        <v>294</v>
      </c>
      <c r="G30" t="s">
        <v>295</v>
      </c>
      <c r="H30" t="s">
        <v>32</v>
      </c>
      <c r="I30" t="s">
        <v>296</v>
      </c>
      <c r="J30" t="s">
        <v>297</v>
      </c>
      <c r="K30" s="24" t="s">
        <v>298</v>
      </c>
      <c r="L30" s="24" t="s">
        <v>299</v>
      </c>
      <c r="M30" t="s">
        <v>113</v>
      </c>
      <c r="N30" t="s">
        <v>300</v>
      </c>
      <c r="O30" t="s">
        <v>27</v>
      </c>
      <c r="P30" t="s">
        <v>81</v>
      </c>
      <c r="Q30" s="1">
        <v>0.17</v>
      </c>
      <c r="R30" t="s">
        <v>12</v>
      </c>
      <c r="S30" s="24" t="s">
        <v>301</v>
      </c>
    </row>
    <row r="31" spans="2:19" x14ac:dyDescent="0.3">
      <c r="B31" t="s">
        <v>302</v>
      </c>
      <c r="C31" t="s">
        <v>303</v>
      </c>
      <c r="D31" t="s">
        <v>303</v>
      </c>
      <c r="E31" t="s">
        <v>9</v>
      </c>
      <c r="F31" t="s">
        <v>304</v>
      </c>
      <c r="G31" t="s">
        <v>305</v>
      </c>
      <c r="H31" t="s">
        <v>638</v>
      </c>
      <c r="I31" t="s">
        <v>306</v>
      </c>
      <c r="J31" t="s">
        <v>307</v>
      </c>
      <c r="K31" s="24" t="s">
        <v>308</v>
      </c>
      <c r="L31" s="24" t="s">
        <v>309</v>
      </c>
      <c r="M31" t="s">
        <v>113</v>
      </c>
      <c r="N31" t="s">
        <v>310</v>
      </c>
      <c r="O31" t="s">
        <v>27</v>
      </c>
      <c r="P31" t="s">
        <v>81</v>
      </c>
      <c r="Q31" s="1">
        <v>0.19</v>
      </c>
      <c r="R31" t="s">
        <v>12</v>
      </c>
      <c r="S31" s="24" t="s">
        <v>311</v>
      </c>
    </row>
    <row r="32" spans="2:19" x14ac:dyDescent="0.3">
      <c r="B32" t="s">
        <v>312</v>
      </c>
      <c r="C32" t="s">
        <v>128</v>
      </c>
      <c r="D32" t="s">
        <v>128</v>
      </c>
      <c r="E32" t="s">
        <v>9</v>
      </c>
      <c r="F32" t="s">
        <v>119</v>
      </c>
      <c r="G32" t="s">
        <v>313</v>
      </c>
      <c r="H32" t="s">
        <v>305</v>
      </c>
      <c r="I32" t="s">
        <v>314</v>
      </c>
      <c r="J32" t="s">
        <v>315</v>
      </c>
      <c r="K32" s="24" t="s">
        <v>316</v>
      </c>
      <c r="L32" s="24" t="s">
        <v>317</v>
      </c>
      <c r="M32" t="s">
        <v>46</v>
      </c>
      <c r="N32" t="s">
        <v>318</v>
      </c>
      <c r="O32" t="s">
        <v>27</v>
      </c>
      <c r="P32" t="s">
        <v>172</v>
      </c>
      <c r="Q32" s="1">
        <v>0.12</v>
      </c>
      <c r="R32" t="s">
        <v>12</v>
      </c>
      <c r="S32" s="24" t="s">
        <v>319</v>
      </c>
    </row>
    <row r="33" spans="2:19" x14ac:dyDescent="0.3">
      <c r="B33" t="s">
        <v>320</v>
      </c>
      <c r="C33" t="s">
        <v>321</v>
      </c>
      <c r="D33" t="s">
        <v>322</v>
      </c>
      <c r="E33" t="s">
        <v>9</v>
      </c>
      <c r="F33" t="s">
        <v>323</v>
      </c>
      <c r="G33" t="s">
        <v>85</v>
      </c>
      <c r="H33" t="s">
        <v>62</v>
      </c>
      <c r="I33" t="s">
        <v>324</v>
      </c>
      <c r="J33" t="s">
        <v>325</v>
      </c>
      <c r="K33" s="24" t="s">
        <v>326</v>
      </c>
      <c r="L33" s="24" t="s">
        <v>327</v>
      </c>
      <c r="M33" t="s">
        <v>113</v>
      </c>
      <c r="N33" t="s">
        <v>328</v>
      </c>
      <c r="O33" t="s">
        <v>27</v>
      </c>
      <c r="P33" t="s">
        <v>81</v>
      </c>
      <c r="Q33" s="1">
        <v>0.22</v>
      </c>
      <c r="R33" t="s">
        <v>12</v>
      </c>
      <c r="S33" s="2" t="s">
        <v>329</v>
      </c>
    </row>
    <row r="34" spans="2:19" x14ac:dyDescent="0.3">
      <c r="B34" t="s">
        <v>330</v>
      </c>
      <c r="C34" t="s">
        <v>181</v>
      </c>
      <c r="D34" t="s">
        <v>182</v>
      </c>
      <c r="E34" t="s">
        <v>9</v>
      </c>
      <c r="F34" t="s">
        <v>108</v>
      </c>
      <c r="G34" t="s">
        <v>331</v>
      </c>
      <c r="H34" t="s">
        <v>108</v>
      </c>
      <c r="I34" t="s">
        <v>130</v>
      </c>
      <c r="J34" t="s">
        <v>332</v>
      </c>
      <c r="K34" s="24" t="s">
        <v>333</v>
      </c>
      <c r="L34" s="24" t="s">
        <v>334</v>
      </c>
      <c r="M34" t="s">
        <v>46</v>
      </c>
      <c r="N34" t="s">
        <v>335</v>
      </c>
      <c r="O34" t="s">
        <v>262</v>
      </c>
      <c r="P34" t="s">
        <v>336</v>
      </c>
      <c r="Q34" s="1">
        <v>0.45</v>
      </c>
      <c r="R34" t="s">
        <v>12</v>
      </c>
      <c r="S34" s="24" t="s">
        <v>337</v>
      </c>
    </row>
    <row r="35" spans="2:19" x14ac:dyDescent="0.3">
      <c r="B35" t="s">
        <v>338</v>
      </c>
      <c r="C35" t="s">
        <v>155</v>
      </c>
      <c r="D35" t="s">
        <v>155</v>
      </c>
      <c r="E35" t="s">
        <v>9</v>
      </c>
      <c r="F35" t="s">
        <v>339</v>
      </c>
      <c r="G35" t="s">
        <v>340</v>
      </c>
      <c r="H35" t="s">
        <v>673</v>
      </c>
      <c r="I35" t="s">
        <v>341</v>
      </c>
      <c r="J35" t="s">
        <v>342</v>
      </c>
      <c r="K35" s="24" t="s">
        <v>343</v>
      </c>
      <c r="L35" s="24" t="s">
        <v>344</v>
      </c>
      <c r="M35" t="s">
        <v>345</v>
      </c>
      <c r="N35" t="s">
        <v>346</v>
      </c>
      <c r="O35" t="s">
        <v>262</v>
      </c>
      <c r="P35" t="s">
        <v>336</v>
      </c>
      <c r="Q35" s="1">
        <v>0.42</v>
      </c>
      <c r="R35" t="s">
        <v>12</v>
      </c>
      <c r="S35" s="24" t="s">
        <v>347</v>
      </c>
    </row>
    <row r="36" spans="2:19" x14ac:dyDescent="0.3">
      <c r="B36" t="s">
        <v>348</v>
      </c>
      <c r="C36" t="s">
        <v>349</v>
      </c>
      <c r="D36" t="s">
        <v>349</v>
      </c>
      <c r="E36" t="s">
        <v>9</v>
      </c>
      <c r="F36" t="s">
        <v>350</v>
      </c>
      <c r="G36" t="s">
        <v>85</v>
      </c>
      <c r="H36" t="s">
        <v>305</v>
      </c>
      <c r="I36" t="s">
        <v>351</v>
      </c>
      <c r="J36" t="s">
        <v>352</v>
      </c>
      <c r="K36" s="24" t="s">
        <v>353</v>
      </c>
      <c r="L36" s="24" t="s">
        <v>354</v>
      </c>
      <c r="M36" t="s">
        <v>345</v>
      </c>
      <c r="N36" t="s">
        <v>355</v>
      </c>
      <c r="O36" t="s">
        <v>58</v>
      </c>
      <c r="P36" t="s">
        <v>46</v>
      </c>
      <c r="Q36" s="1">
        <v>0.69</v>
      </c>
      <c r="R36" t="s">
        <v>12</v>
      </c>
      <c r="S36" s="24" t="s">
        <v>356</v>
      </c>
    </row>
    <row r="37" spans="2:19" x14ac:dyDescent="0.3">
      <c r="B37" t="s">
        <v>357</v>
      </c>
      <c r="C37" t="s">
        <v>321</v>
      </c>
      <c r="D37" t="s">
        <v>358</v>
      </c>
      <c r="E37" t="s">
        <v>9</v>
      </c>
      <c r="F37" t="s">
        <v>359</v>
      </c>
      <c r="G37" t="s">
        <v>72</v>
      </c>
      <c r="H37" t="s">
        <v>62</v>
      </c>
      <c r="I37" t="s">
        <v>360</v>
      </c>
      <c r="J37" t="s">
        <v>361</v>
      </c>
      <c r="K37" s="24" t="s">
        <v>362</v>
      </c>
      <c r="L37" s="24" t="s">
        <v>363</v>
      </c>
      <c r="M37" t="s">
        <v>143</v>
      </c>
      <c r="N37" t="s">
        <v>364</v>
      </c>
      <c r="O37" t="s">
        <v>27</v>
      </c>
      <c r="P37" t="s">
        <v>81</v>
      </c>
      <c r="Q37" s="1">
        <v>0.17</v>
      </c>
      <c r="R37" t="s">
        <v>12</v>
      </c>
      <c r="S37" s="24" t="s">
        <v>365</v>
      </c>
    </row>
    <row r="38" spans="2:19" x14ac:dyDescent="0.3">
      <c r="B38" t="s">
        <v>366</v>
      </c>
      <c r="C38" t="s">
        <v>128</v>
      </c>
      <c r="D38" t="s">
        <v>128</v>
      </c>
      <c r="E38" t="s">
        <v>31</v>
      </c>
      <c r="F38" t="s">
        <v>305</v>
      </c>
      <c r="G38" t="s">
        <v>62</v>
      </c>
      <c r="H38" t="s">
        <v>305</v>
      </c>
      <c r="I38" t="s">
        <v>367</v>
      </c>
      <c r="J38" t="s">
        <v>368</v>
      </c>
      <c r="K38" s="24" t="s">
        <v>369</v>
      </c>
      <c r="L38" s="24" t="s">
        <v>370</v>
      </c>
      <c r="M38" t="s">
        <v>46</v>
      </c>
      <c r="N38" t="s">
        <v>371</v>
      </c>
      <c r="O38" t="s">
        <v>27</v>
      </c>
      <c r="P38" t="s">
        <v>81</v>
      </c>
      <c r="Q38" s="1">
        <v>0.23</v>
      </c>
      <c r="R38" t="s">
        <v>12</v>
      </c>
      <c r="S38" s="24" t="s">
        <v>372</v>
      </c>
    </row>
    <row r="39" spans="2:19" x14ac:dyDescent="0.3">
      <c r="B39" t="s">
        <v>373</v>
      </c>
      <c r="C39" t="s">
        <v>374</v>
      </c>
      <c r="D39" t="s">
        <v>374</v>
      </c>
      <c r="E39" t="s">
        <v>9</v>
      </c>
      <c r="F39" t="s">
        <v>62</v>
      </c>
      <c r="G39" t="s">
        <v>97</v>
      </c>
      <c r="H39" t="s">
        <v>62</v>
      </c>
      <c r="I39" t="s">
        <v>375</v>
      </c>
      <c r="J39" t="s">
        <v>376</v>
      </c>
      <c r="K39" s="24" t="s">
        <v>377</v>
      </c>
      <c r="L39" s="24" t="s">
        <v>378</v>
      </c>
      <c r="M39" t="s">
        <v>345</v>
      </c>
      <c r="N39" t="s">
        <v>379</v>
      </c>
      <c r="O39" t="s">
        <v>27</v>
      </c>
      <c r="P39" t="s">
        <v>81</v>
      </c>
      <c r="Q39" s="1">
        <v>0.32</v>
      </c>
      <c r="R39" t="s">
        <v>12</v>
      </c>
      <c r="S39" s="2" t="s">
        <v>380</v>
      </c>
    </row>
    <row r="40" spans="2:19" x14ac:dyDescent="0.3">
      <c r="B40" t="s">
        <v>381</v>
      </c>
      <c r="C40" t="s">
        <v>382</v>
      </c>
      <c r="D40" t="s">
        <v>383</v>
      </c>
      <c r="E40" t="s">
        <v>9</v>
      </c>
      <c r="F40" t="s">
        <v>62</v>
      </c>
      <c r="G40" t="s">
        <v>384</v>
      </c>
      <c r="H40" t="s">
        <v>62</v>
      </c>
      <c r="I40" t="s">
        <v>385</v>
      </c>
      <c r="J40" t="s">
        <v>386</v>
      </c>
      <c r="K40" s="24" t="s">
        <v>387</v>
      </c>
      <c r="L40" s="24" t="s">
        <v>388</v>
      </c>
      <c r="M40" t="s">
        <v>113</v>
      </c>
      <c r="N40" t="s">
        <v>389</v>
      </c>
      <c r="O40" t="s">
        <v>27</v>
      </c>
      <c r="P40" t="s">
        <v>81</v>
      </c>
      <c r="Q40" s="1">
        <v>0.36</v>
      </c>
      <c r="R40" t="s">
        <v>12</v>
      </c>
      <c r="S40" s="24" t="s">
        <v>390</v>
      </c>
    </row>
    <row r="41" spans="2:19" x14ac:dyDescent="0.3">
      <c r="B41" t="s">
        <v>391</v>
      </c>
      <c r="C41" t="s">
        <v>392</v>
      </c>
      <c r="D41" t="s">
        <v>393</v>
      </c>
      <c r="E41" t="s">
        <v>9</v>
      </c>
      <c r="F41" t="s">
        <v>394</v>
      </c>
      <c r="G41" t="s">
        <v>62</v>
      </c>
      <c r="H41" t="s">
        <v>672</v>
      </c>
      <c r="I41" t="s">
        <v>395</v>
      </c>
      <c r="J41" t="s">
        <v>396</v>
      </c>
      <c r="K41" s="24" t="s">
        <v>397</v>
      </c>
      <c r="L41" s="24" t="s">
        <v>398</v>
      </c>
      <c r="M41" t="s">
        <v>42</v>
      </c>
      <c r="N41" t="s">
        <v>398</v>
      </c>
      <c r="O41" t="s">
        <v>27</v>
      </c>
      <c r="P41" t="s">
        <v>172</v>
      </c>
      <c r="Q41" s="1">
        <v>0.15</v>
      </c>
      <c r="R41" t="s">
        <v>12</v>
      </c>
      <c r="S41" s="2" t="s">
        <v>399</v>
      </c>
    </row>
    <row r="42" spans="2:19" x14ac:dyDescent="0.3">
      <c r="B42" t="s">
        <v>400</v>
      </c>
      <c r="C42" t="s">
        <v>401</v>
      </c>
      <c r="D42" t="s">
        <v>402</v>
      </c>
      <c r="E42" t="s">
        <v>9</v>
      </c>
      <c r="F42" t="s">
        <v>62</v>
      </c>
      <c r="H42" t="s">
        <v>62</v>
      </c>
      <c r="I42" t="s">
        <v>403</v>
      </c>
      <c r="J42" t="s">
        <v>404</v>
      </c>
      <c r="K42" s="24" t="s">
        <v>405</v>
      </c>
      <c r="L42" s="24" t="s">
        <v>406</v>
      </c>
      <c r="M42" t="s">
        <v>143</v>
      </c>
      <c r="N42" t="s">
        <v>407</v>
      </c>
      <c r="O42" t="s">
        <v>27</v>
      </c>
      <c r="P42" t="s">
        <v>172</v>
      </c>
      <c r="Q42" s="1">
        <v>0.16</v>
      </c>
      <c r="R42" t="s">
        <v>12</v>
      </c>
      <c r="S42" s="24" t="s">
        <v>408</v>
      </c>
    </row>
    <row r="43" spans="2:19" x14ac:dyDescent="0.3">
      <c r="B43" t="s">
        <v>409</v>
      </c>
      <c r="C43" t="s">
        <v>128</v>
      </c>
      <c r="D43" t="s">
        <v>128</v>
      </c>
      <c r="E43" t="s">
        <v>31</v>
      </c>
      <c r="F43" t="s">
        <v>410</v>
      </c>
      <c r="G43" t="s">
        <v>108</v>
      </c>
      <c r="H43" t="s">
        <v>62</v>
      </c>
      <c r="I43" t="s">
        <v>411</v>
      </c>
      <c r="J43" t="s">
        <v>412</v>
      </c>
      <c r="K43" s="24" t="s">
        <v>413</v>
      </c>
      <c r="L43" s="24" t="s">
        <v>414</v>
      </c>
      <c r="M43" t="s">
        <v>345</v>
      </c>
      <c r="N43" t="s">
        <v>415</v>
      </c>
      <c r="O43" t="s">
        <v>58</v>
      </c>
      <c r="P43" t="s">
        <v>46</v>
      </c>
      <c r="Q43" s="1">
        <v>0.68</v>
      </c>
      <c r="R43" t="s">
        <v>12</v>
      </c>
      <c r="S43" s="24" t="s">
        <v>416</v>
      </c>
    </row>
    <row r="44" spans="2:19" x14ac:dyDescent="0.3">
      <c r="B44" t="s">
        <v>417</v>
      </c>
      <c r="C44" t="s">
        <v>382</v>
      </c>
      <c r="D44" t="s">
        <v>383</v>
      </c>
      <c r="E44" t="s">
        <v>9</v>
      </c>
      <c r="F44" t="s">
        <v>418</v>
      </c>
      <c r="G44" t="s">
        <v>419</v>
      </c>
      <c r="H44" t="s">
        <v>32</v>
      </c>
      <c r="I44" t="s">
        <v>420</v>
      </c>
      <c r="J44" t="s">
        <v>421</v>
      </c>
      <c r="K44" s="24" t="s">
        <v>422</v>
      </c>
      <c r="L44" s="24" t="s">
        <v>423</v>
      </c>
      <c r="M44" t="s">
        <v>46</v>
      </c>
      <c r="N44" t="s">
        <v>424</v>
      </c>
      <c r="O44" t="s">
        <v>58</v>
      </c>
      <c r="P44" t="s">
        <v>46</v>
      </c>
      <c r="Q44" s="1">
        <v>0.65</v>
      </c>
      <c r="R44" t="s">
        <v>12</v>
      </c>
      <c r="S44" s="2" t="s">
        <v>425</v>
      </c>
    </row>
    <row r="45" spans="2:19" x14ac:dyDescent="0.3">
      <c r="B45" t="s">
        <v>426</v>
      </c>
      <c r="C45" t="s">
        <v>427</v>
      </c>
      <c r="D45" t="s">
        <v>428</v>
      </c>
      <c r="E45" t="s">
        <v>9</v>
      </c>
      <c r="F45" t="s">
        <v>429</v>
      </c>
      <c r="G45" t="s">
        <v>430</v>
      </c>
      <c r="H45" t="s">
        <v>671</v>
      </c>
      <c r="I45" t="s">
        <v>431</v>
      </c>
      <c r="J45" t="s">
        <v>432</v>
      </c>
      <c r="K45" s="24" t="s">
        <v>433</v>
      </c>
      <c r="L45" s="24" t="s">
        <v>434</v>
      </c>
      <c r="M45" t="s">
        <v>46</v>
      </c>
      <c r="N45" t="s">
        <v>435</v>
      </c>
      <c r="O45" t="s">
        <v>27</v>
      </c>
      <c r="P45" t="s">
        <v>81</v>
      </c>
      <c r="Q45" s="1">
        <v>0.31</v>
      </c>
      <c r="R45" t="s">
        <v>12</v>
      </c>
      <c r="S45" s="24" t="s">
        <v>436</v>
      </c>
    </row>
    <row r="46" spans="2:19" x14ac:dyDescent="0.3">
      <c r="B46" t="s">
        <v>437</v>
      </c>
      <c r="C46" t="s">
        <v>438</v>
      </c>
      <c r="D46" t="s">
        <v>439</v>
      </c>
      <c r="E46" t="s">
        <v>9</v>
      </c>
      <c r="F46" t="s">
        <v>440</v>
      </c>
      <c r="G46" t="s">
        <v>441</v>
      </c>
      <c r="H46" t="s">
        <v>129</v>
      </c>
      <c r="I46" t="s">
        <v>442</v>
      </c>
      <c r="J46" t="s">
        <v>443</v>
      </c>
      <c r="K46" s="24" t="s">
        <v>444</v>
      </c>
      <c r="L46" s="24" t="s">
        <v>445</v>
      </c>
      <c r="M46" t="s">
        <v>46</v>
      </c>
      <c r="N46" t="s">
        <v>446</v>
      </c>
      <c r="O46" t="s">
        <v>262</v>
      </c>
      <c r="P46" t="s">
        <v>336</v>
      </c>
      <c r="Q46" s="1">
        <v>0.48</v>
      </c>
      <c r="R46" t="s">
        <v>12</v>
      </c>
      <c r="S46" s="24" t="s">
        <v>447</v>
      </c>
    </row>
    <row r="47" spans="2:19" x14ac:dyDescent="0.3">
      <c r="B47" t="s">
        <v>448</v>
      </c>
      <c r="C47" t="s">
        <v>449</v>
      </c>
      <c r="D47" t="s">
        <v>450</v>
      </c>
      <c r="E47" t="s">
        <v>9</v>
      </c>
      <c r="F47" t="s">
        <v>451</v>
      </c>
      <c r="G47" t="s">
        <v>305</v>
      </c>
      <c r="H47" t="s">
        <v>62</v>
      </c>
      <c r="I47" t="s">
        <v>452</v>
      </c>
      <c r="J47" t="s">
        <v>453</v>
      </c>
      <c r="K47" s="24" t="s">
        <v>454</v>
      </c>
      <c r="L47" s="24" t="s">
        <v>455</v>
      </c>
      <c r="M47" t="s">
        <v>113</v>
      </c>
      <c r="N47" t="s">
        <v>456</v>
      </c>
      <c r="O47" t="s">
        <v>27</v>
      </c>
      <c r="P47" t="s">
        <v>81</v>
      </c>
      <c r="Q47" s="1">
        <v>0.3</v>
      </c>
      <c r="R47" t="s">
        <v>12</v>
      </c>
      <c r="S47" s="24" t="s">
        <v>457</v>
      </c>
    </row>
    <row r="48" spans="2:19" x14ac:dyDescent="0.3">
      <c r="B48" t="s">
        <v>458</v>
      </c>
      <c r="C48" t="s">
        <v>265</v>
      </c>
      <c r="D48" t="s">
        <v>266</v>
      </c>
      <c r="E48" t="s">
        <v>31</v>
      </c>
      <c r="F48" t="s">
        <v>62</v>
      </c>
      <c r="G48" t="s">
        <v>108</v>
      </c>
      <c r="H48" t="s">
        <v>62</v>
      </c>
      <c r="I48" t="s">
        <v>459</v>
      </c>
      <c r="J48" t="s">
        <v>460</v>
      </c>
      <c r="K48" s="24" t="s">
        <v>461</v>
      </c>
      <c r="L48" s="24" t="s">
        <v>462</v>
      </c>
      <c r="M48" t="s">
        <v>113</v>
      </c>
      <c r="N48" t="s">
        <v>463</v>
      </c>
      <c r="O48" t="s">
        <v>27</v>
      </c>
      <c r="P48" t="s">
        <v>81</v>
      </c>
      <c r="Q48" s="1">
        <v>0.31</v>
      </c>
      <c r="R48" t="s">
        <v>12</v>
      </c>
      <c r="S48" s="24" t="s">
        <v>464</v>
      </c>
    </row>
    <row r="49" spans="2:19" x14ac:dyDescent="0.3">
      <c r="B49" t="s">
        <v>465</v>
      </c>
      <c r="C49" t="s">
        <v>466</v>
      </c>
      <c r="D49" t="s">
        <v>467</v>
      </c>
      <c r="E49" t="s">
        <v>9</v>
      </c>
      <c r="F49" t="s">
        <v>62</v>
      </c>
      <c r="G49" t="s">
        <v>305</v>
      </c>
      <c r="H49" t="s">
        <v>62</v>
      </c>
      <c r="I49" t="s">
        <v>468</v>
      </c>
      <c r="J49" t="s">
        <v>469</v>
      </c>
      <c r="K49" s="24" t="s">
        <v>470</v>
      </c>
      <c r="L49" s="24" t="s">
        <v>471</v>
      </c>
      <c r="M49" t="s">
        <v>46</v>
      </c>
      <c r="N49" t="s">
        <v>472</v>
      </c>
      <c r="O49" t="s">
        <v>58</v>
      </c>
      <c r="P49" t="s">
        <v>42</v>
      </c>
      <c r="Q49" s="1">
        <v>0.53</v>
      </c>
      <c r="R49" t="s">
        <v>12</v>
      </c>
      <c r="S49" s="24" t="s">
        <v>473</v>
      </c>
    </row>
    <row r="50" spans="2:19" x14ac:dyDescent="0.3">
      <c r="B50" t="s">
        <v>474</v>
      </c>
      <c r="C50" t="s">
        <v>382</v>
      </c>
      <c r="D50" t="s">
        <v>383</v>
      </c>
      <c r="E50" t="s">
        <v>9</v>
      </c>
      <c r="F50" t="s">
        <v>475</v>
      </c>
      <c r="G50" t="s">
        <v>476</v>
      </c>
      <c r="H50" t="s">
        <v>62</v>
      </c>
      <c r="I50" t="s">
        <v>477</v>
      </c>
      <c r="J50" t="s">
        <v>478</v>
      </c>
      <c r="K50" s="24" t="s">
        <v>479</v>
      </c>
      <c r="L50" s="24" t="s">
        <v>480</v>
      </c>
      <c r="M50" t="s">
        <v>345</v>
      </c>
      <c r="N50" t="s">
        <v>481</v>
      </c>
      <c r="O50" t="s">
        <v>58</v>
      </c>
      <c r="P50" t="s">
        <v>113</v>
      </c>
      <c r="Q50" s="1">
        <v>0.62</v>
      </c>
      <c r="R50" t="s">
        <v>12</v>
      </c>
      <c r="S50" s="24" t="s">
        <v>482</v>
      </c>
    </row>
    <row r="51" spans="2:19" x14ac:dyDescent="0.3">
      <c r="B51" t="s">
        <v>483</v>
      </c>
      <c r="C51" t="s">
        <v>484</v>
      </c>
      <c r="D51" t="s">
        <v>485</v>
      </c>
      <c r="E51" t="s">
        <v>9</v>
      </c>
      <c r="F51" t="s">
        <v>62</v>
      </c>
      <c r="G51" t="s">
        <v>486</v>
      </c>
      <c r="H51" t="s">
        <v>62</v>
      </c>
      <c r="I51" t="s">
        <v>487</v>
      </c>
      <c r="J51" t="s">
        <v>488</v>
      </c>
      <c r="K51" s="24" t="s">
        <v>489</v>
      </c>
      <c r="L51" s="24" t="s">
        <v>490</v>
      </c>
      <c r="M51" t="s">
        <v>42</v>
      </c>
      <c r="N51" t="s">
        <v>491</v>
      </c>
      <c r="O51" t="s">
        <v>27</v>
      </c>
      <c r="P51" t="s">
        <v>172</v>
      </c>
      <c r="Q51" s="1">
        <v>0.15</v>
      </c>
      <c r="R51" t="s">
        <v>12</v>
      </c>
      <c r="S51" s="24" t="s">
        <v>492</v>
      </c>
    </row>
    <row r="52" spans="2:19" x14ac:dyDescent="0.3">
      <c r="B52" t="s">
        <v>493</v>
      </c>
      <c r="C52" t="s">
        <v>466</v>
      </c>
      <c r="D52" t="s">
        <v>467</v>
      </c>
      <c r="E52" t="s">
        <v>9</v>
      </c>
      <c r="F52" t="s">
        <v>494</v>
      </c>
      <c r="G52" t="s">
        <v>495</v>
      </c>
      <c r="H52" t="s">
        <v>494</v>
      </c>
      <c r="I52" t="s">
        <v>496</v>
      </c>
      <c r="J52" t="s">
        <v>497</v>
      </c>
      <c r="K52" s="24" t="s">
        <v>498</v>
      </c>
      <c r="L52" s="24" t="s">
        <v>499</v>
      </c>
      <c r="M52" t="s">
        <v>113</v>
      </c>
      <c r="N52" t="s">
        <v>500</v>
      </c>
      <c r="O52" t="s">
        <v>27</v>
      </c>
      <c r="P52" t="s">
        <v>172</v>
      </c>
      <c r="Q52" s="1">
        <v>0.11</v>
      </c>
      <c r="R52" t="s">
        <v>12</v>
      </c>
      <c r="S52" s="24" t="s">
        <v>501</v>
      </c>
    </row>
    <row r="53" spans="2:19" x14ac:dyDescent="0.3">
      <c r="B53" t="s">
        <v>502</v>
      </c>
      <c r="C53" t="s">
        <v>503</v>
      </c>
      <c r="D53" t="s">
        <v>503</v>
      </c>
      <c r="E53" t="s">
        <v>31</v>
      </c>
      <c r="F53" t="s">
        <v>62</v>
      </c>
      <c r="G53" t="s">
        <v>504</v>
      </c>
      <c r="H53" t="s">
        <v>62</v>
      </c>
      <c r="I53" t="s">
        <v>505</v>
      </c>
      <c r="J53" t="s">
        <v>506</v>
      </c>
      <c r="K53" s="24" t="s">
        <v>507</v>
      </c>
      <c r="L53" s="24" t="s">
        <v>508</v>
      </c>
      <c r="M53" t="s">
        <v>143</v>
      </c>
      <c r="N53" t="s">
        <v>509</v>
      </c>
      <c r="O53" t="s">
        <v>27</v>
      </c>
      <c r="P53" t="s">
        <v>172</v>
      </c>
      <c r="Q53" s="1">
        <v>0.14000000000000001</v>
      </c>
      <c r="R53" t="s">
        <v>12</v>
      </c>
      <c r="S53" s="24" t="s">
        <v>510</v>
      </c>
    </row>
    <row r="54" spans="2:19" x14ac:dyDescent="0.3">
      <c r="B54" t="s">
        <v>511</v>
      </c>
      <c r="C54" t="s">
        <v>30</v>
      </c>
      <c r="D54" t="s">
        <v>29</v>
      </c>
      <c r="E54" t="s">
        <v>9</v>
      </c>
      <c r="F54" t="s">
        <v>512</v>
      </c>
      <c r="G54" t="s">
        <v>513</v>
      </c>
      <c r="H54" t="s">
        <v>97</v>
      </c>
      <c r="I54" t="s">
        <v>514</v>
      </c>
      <c r="J54" t="s">
        <v>515</v>
      </c>
      <c r="K54" s="24" t="s">
        <v>516</v>
      </c>
      <c r="L54" s="24" t="s">
        <v>517</v>
      </c>
      <c r="M54" t="s">
        <v>113</v>
      </c>
      <c r="N54" t="s">
        <v>518</v>
      </c>
      <c r="O54" t="s">
        <v>262</v>
      </c>
      <c r="P54" t="s">
        <v>655</v>
      </c>
      <c r="Q54" s="1">
        <v>0.5</v>
      </c>
      <c r="R54" t="s">
        <v>12</v>
      </c>
      <c r="S54" s="24" t="s">
        <v>519</v>
      </c>
    </row>
    <row r="55" spans="2:19" x14ac:dyDescent="0.3">
      <c r="B55" t="s">
        <v>520</v>
      </c>
      <c r="C55" t="s">
        <v>128</v>
      </c>
      <c r="D55" t="s">
        <v>128</v>
      </c>
      <c r="E55" t="s">
        <v>9</v>
      </c>
      <c r="F55" t="s">
        <v>62</v>
      </c>
      <c r="G55" t="s">
        <v>521</v>
      </c>
      <c r="H55" t="s">
        <v>62</v>
      </c>
      <c r="I55" t="s">
        <v>522</v>
      </c>
      <c r="J55" t="s">
        <v>523</v>
      </c>
      <c r="K55" s="24" t="s">
        <v>524</v>
      </c>
      <c r="L55" s="24" t="s">
        <v>525</v>
      </c>
      <c r="M55" t="s">
        <v>345</v>
      </c>
      <c r="N55" t="s">
        <v>526</v>
      </c>
      <c r="O55" t="s">
        <v>262</v>
      </c>
      <c r="P55" t="s">
        <v>527</v>
      </c>
      <c r="Q55" s="1">
        <v>0.43</v>
      </c>
      <c r="R55" t="s">
        <v>12</v>
      </c>
      <c r="S55" s="24" t="s">
        <v>528</v>
      </c>
    </row>
    <row r="56" spans="2:19" x14ac:dyDescent="0.3">
      <c r="B56" t="s">
        <v>529</v>
      </c>
      <c r="C56" t="s">
        <v>530</v>
      </c>
      <c r="D56" t="s">
        <v>531</v>
      </c>
      <c r="E56" t="s">
        <v>9</v>
      </c>
      <c r="F56" t="s">
        <v>532</v>
      </c>
      <c r="G56" t="s">
        <v>533</v>
      </c>
      <c r="H56" t="s">
        <v>638</v>
      </c>
      <c r="I56" t="s">
        <v>534</v>
      </c>
      <c r="J56" t="s">
        <v>535</v>
      </c>
      <c r="K56" s="24" t="s">
        <v>536</v>
      </c>
      <c r="L56" s="24" t="s">
        <v>537</v>
      </c>
      <c r="M56" t="s">
        <v>46</v>
      </c>
      <c r="N56" t="s">
        <v>538</v>
      </c>
      <c r="O56" t="s">
        <v>262</v>
      </c>
      <c r="P56" t="s">
        <v>527</v>
      </c>
      <c r="Q56" s="1">
        <v>0.41</v>
      </c>
      <c r="R56" t="s">
        <v>12</v>
      </c>
      <c r="S56" s="24" t="s">
        <v>539</v>
      </c>
    </row>
    <row r="57" spans="2:19" x14ac:dyDescent="0.3">
      <c r="B57" t="s">
        <v>540</v>
      </c>
      <c r="C57" t="s">
        <v>541</v>
      </c>
      <c r="D57" t="s">
        <v>542</v>
      </c>
      <c r="E57" t="s">
        <v>9</v>
      </c>
      <c r="F57" t="s">
        <v>62</v>
      </c>
      <c r="H57" t="s">
        <v>62</v>
      </c>
      <c r="I57" t="s">
        <v>543</v>
      </c>
      <c r="J57" t="s">
        <v>544</v>
      </c>
      <c r="K57" s="24" t="s">
        <v>545</v>
      </c>
      <c r="L57" s="24" t="s">
        <v>546</v>
      </c>
      <c r="M57" t="s">
        <v>42</v>
      </c>
      <c r="N57" t="s">
        <v>547</v>
      </c>
      <c r="O57" t="s">
        <v>27</v>
      </c>
      <c r="P57" t="s">
        <v>172</v>
      </c>
      <c r="Q57" s="1">
        <v>0.1</v>
      </c>
      <c r="R57" t="s">
        <v>12</v>
      </c>
      <c r="S57" s="24" t="s">
        <v>548</v>
      </c>
    </row>
    <row r="58" spans="2:19" x14ac:dyDescent="0.3">
      <c r="B58" t="s">
        <v>549</v>
      </c>
      <c r="C58" t="s">
        <v>550</v>
      </c>
      <c r="D58" t="s">
        <v>551</v>
      </c>
      <c r="E58" t="s">
        <v>9</v>
      </c>
      <c r="F58" t="s">
        <v>62</v>
      </c>
      <c r="H58" t="s">
        <v>62</v>
      </c>
      <c r="I58" t="s">
        <v>552</v>
      </c>
      <c r="J58" t="s">
        <v>553</v>
      </c>
      <c r="K58" s="24" t="s">
        <v>554</v>
      </c>
      <c r="L58" s="24" t="s">
        <v>555</v>
      </c>
      <c r="M58" t="s">
        <v>345</v>
      </c>
      <c r="N58" t="s">
        <v>556</v>
      </c>
      <c r="O58" t="s">
        <v>58</v>
      </c>
      <c r="P58" t="s">
        <v>113</v>
      </c>
      <c r="Q58" s="1">
        <v>0.59</v>
      </c>
      <c r="R58" t="s">
        <v>12</v>
      </c>
      <c r="S58" s="24" t="s">
        <v>557</v>
      </c>
    </row>
    <row r="59" spans="2:19" x14ac:dyDescent="0.3">
      <c r="B59" t="s">
        <v>558</v>
      </c>
      <c r="C59" t="s">
        <v>559</v>
      </c>
      <c r="D59" t="s">
        <v>560</v>
      </c>
      <c r="E59" t="s">
        <v>9</v>
      </c>
      <c r="F59" t="s">
        <v>62</v>
      </c>
      <c r="H59" t="s">
        <v>62</v>
      </c>
      <c r="I59" t="s">
        <v>561</v>
      </c>
      <c r="J59" t="s">
        <v>562</v>
      </c>
      <c r="K59" s="24" t="s">
        <v>563</v>
      </c>
      <c r="L59" s="24" t="s">
        <v>564</v>
      </c>
      <c r="M59" t="s">
        <v>345</v>
      </c>
      <c r="N59" t="s">
        <v>565</v>
      </c>
      <c r="O59" t="s">
        <v>27</v>
      </c>
      <c r="P59" t="s">
        <v>81</v>
      </c>
      <c r="Q59" s="1">
        <v>0.33</v>
      </c>
      <c r="R59" t="s">
        <v>12</v>
      </c>
      <c r="S59" s="24" t="s">
        <v>566</v>
      </c>
    </row>
    <row r="60" spans="2:19" x14ac:dyDescent="0.3">
      <c r="B60" t="s">
        <v>567</v>
      </c>
      <c r="C60" t="s">
        <v>94</v>
      </c>
      <c r="D60" t="s">
        <v>95</v>
      </c>
      <c r="E60" t="s">
        <v>9</v>
      </c>
      <c r="F60" t="s">
        <v>62</v>
      </c>
      <c r="G60" t="s">
        <v>568</v>
      </c>
      <c r="H60" t="s">
        <v>62</v>
      </c>
      <c r="I60" t="s">
        <v>569</v>
      </c>
      <c r="J60" t="s">
        <v>570</v>
      </c>
      <c r="K60" s="24" t="s">
        <v>571</v>
      </c>
      <c r="L60" s="24" t="s">
        <v>572</v>
      </c>
      <c r="M60" t="s">
        <v>46</v>
      </c>
      <c r="N60" t="s">
        <v>573</v>
      </c>
      <c r="O60" t="s">
        <v>262</v>
      </c>
      <c r="P60" t="s">
        <v>527</v>
      </c>
      <c r="Q60" s="1">
        <v>0.44</v>
      </c>
      <c r="R60" t="s">
        <v>12</v>
      </c>
      <c r="S60" s="24" t="s">
        <v>574</v>
      </c>
    </row>
    <row r="61" spans="2:19" x14ac:dyDescent="0.3">
      <c r="B61" t="s">
        <v>575</v>
      </c>
      <c r="C61" t="s">
        <v>576</v>
      </c>
      <c r="D61" t="s">
        <v>577</v>
      </c>
      <c r="E61" t="s">
        <v>9</v>
      </c>
      <c r="F61" t="s">
        <v>578</v>
      </c>
      <c r="G61" t="s">
        <v>578</v>
      </c>
      <c r="H61" t="s">
        <v>32</v>
      </c>
      <c r="I61" t="s">
        <v>579</v>
      </c>
      <c r="J61" t="s">
        <v>580</v>
      </c>
      <c r="K61" s="24" t="s">
        <v>581</v>
      </c>
      <c r="L61" s="24" t="s">
        <v>582</v>
      </c>
      <c r="M61" t="s">
        <v>46</v>
      </c>
      <c r="N61" t="s">
        <v>583</v>
      </c>
      <c r="O61" t="s">
        <v>262</v>
      </c>
      <c r="P61" t="s">
        <v>527</v>
      </c>
      <c r="Q61" s="1">
        <v>0.42</v>
      </c>
      <c r="R61" t="s">
        <v>12</v>
      </c>
      <c r="S61" s="24" t="s">
        <v>584</v>
      </c>
    </row>
    <row r="62" spans="2:19" x14ac:dyDescent="0.3">
      <c r="B62" t="s">
        <v>585</v>
      </c>
      <c r="C62" t="s">
        <v>321</v>
      </c>
      <c r="D62" t="s">
        <v>358</v>
      </c>
      <c r="E62" t="s">
        <v>31</v>
      </c>
      <c r="F62" t="s">
        <v>62</v>
      </c>
      <c r="G62" t="s">
        <v>72</v>
      </c>
      <c r="H62" t="s">
        <v>62</v>
      </c>
      <c r="I62" t="s">
        <v>586</v>
      </c>
      <c r="J62" t="s">
        <v>587</v>
      </c>
      <c r="K62" s="24" t="s">
        <v>588</v>
      </c>
      <c r="L62" s="24" t="s">
        <v>589</v>
      </c>
      <c r="M62" t="s">
        <v>81</v>
      </c>
      <c r="N62" t="s">
        <v>590</v>
      </c>
      <c r="O62" t="s">
        <v>27</v>
      </c>
      <c r="P62" t="s">
        <v>172</v>
      </c>
      <c r="Q62" s="1">
        <v>0.12</v>
      </c>
      <c r="R62" t="s">
        <v>12</v>
      </c>
      <c r="S62" s="24" t="s">
        <v>591</v>
      </c>
    </row>
    <row r="63" spans="2:19" x14ac:dyDescent="0.3">
      <c r="B63" t="s">
        <v>592</v>
      </c>
      <c r="C63" t="s">
        <v>593</v>
      </c>
      <c r="D63" t="s">
        <v>593</v>
      </c>
      <c r="E63" t="s">
        <v>9</v>
      </c>
      <c r="F63" t="s">
        <v>305</v>
      </c>
      <c r="G63" t="s">
        <v>108</v>
      </c>
      <c r="H63" t="s">
        <v>305</v>
      </c>
      <c r="I63" t="s">
        <v>594</v>
      </c>
      <c r="J63" t="s">
        <v>595</v>
      </c>
      <c r="K63" s="24" t="s">
        <v>596</v>
      </c>
      <c r="L63" s="24" t="s">
        <v>597</v>
      </c>
      <c r="M63" t="s">
        <v>113</v>
      </c>
      <c r="N63" t="s">
        <v>598</v>
      </c>
      <c r="O63" t="s">
        <v>27</v>
      </c>
      <c r="P63" t="s">
        <v>172</v>
      </c>
      <c r="Q63" s="1">
        <v>7.0000000000000007E-2</v>
      </c>
      <c r="R63" t="s">
        <v>12</v>
      </c>
      <c r="S63" s="24" t="s">
        <v>599</v>
      </c>
    </row>
    <row r="64" spans="2:19" x14ac:dyDescent="0.3">
      <c r="B64" t="s">
        <v>600</v>
      </c>
      <c r="C64" t="s">
        <v>601</v>
      </c>
      <c r="D64" t="s">
        <v>602</v>
      </c>
      <c r="E64" t="s">
        <v>9</v>
      </c>
      <c r="F64" t="s">
        <v>72</v>
      </c>
      <c r="G64" t="s">
        <v>603</v>
      </c>
      <c r="H64" t="s">
        <v>72</v>
      </c>
      <c r="I64" t="s">
        <v>604</v>
      </c>
      <c r="J64" t="s">
        <v>605</v>
      </c>
      <c r="K64" s="24" t="s">
        <v>606</v>
      </c>
      <c r="L64" s="24" t="s">
        <v>607</v>
      </c>
      <c r="M64" t="s">
        <v>113</v>
      </c>
      <c r="N64" t="s">
        <v>608</v>
      </c>
      <c r="O64" t="s">
        <v>27</v>
      </c>
      <c r="P64" t="s">
        <v>81</v>
      </c>
      <c r="Q64" s="1">
        <v>0.26</v>
      </c>
      <c r="R64" t="s">
        <v>12</v>
      </c>
      <c r="S64" s="2" t="s">
        <v>609</v>
      </c>
    </row>
    <row r="65" spans="2:19" x14ac:dyDescent="0.3">
      <c r="B65" t="s">
        <v>610</v>
      </c>
      <c r="C65" t="s">
        <v>611</v>
      </c>
      <c r="D65" t="s">
        <v>611</v>
      </c>
      <c r="E65" t="s">
        <v>31</v>
      </c>
      <c r="F65" t="s">
        <v>612</v>
      </c>
      <c r="G65" t="s">
        <v>613</v>
      </c>
      <c r="H65" t="s">
        <v>673</v>
      </c>
      <c r="I65" t="s">
        <v>614</v>
      </c>
      <c r="J65" t="s">
        <v>615</v>
      </c>
      <c r="K65" s="24" t="s">
        <v>616</v>
      </c>
      <c r="L65" s="24" t="s">
        <v>617</v>
      </c>
      <c r="M65" t="s">
        <v>46</v>
      </c>
      <c r="N65" t="s">
        <v>618</v>
      </c>
      <c r="O65" t="s">
        <v>27</v>
      </c>
      <c r="P65" t="s">
        <v>81</v>
      </c>
      <c r="Q65" s="1">
        <v>0.28000000000000003</v>
      </c>
      <c r="R65" t="s">
        <v>12</v>
      </c>
      <c r="S65" s="24" t="s">
        <v>619</v>
      </c>
    </row>
    <row r="66" spans="2:19" x14ac:dyDescent="0.3">
      <c r="B66" t="s">
        <v>620</v>
      </c>
      <c r="C66" t="s">
        <v>427</v>
      </c>
      <c r="D66" t="s">
        <v>428</v>
      </c>
      <c r="E66" t="s">
        <v>9</v>
      </c>
      <c r="F66" t="s">
        <v>621</v>
      </c>
      <c r="G66" t="s">
        <v>108</v>
      </c>
      <c r="H66" t="s">
        <v>672</v>
      </c>
      <c r="I66" t="s">
        <v>622</v>
      </c>
      <c r="J66" t="s">
        <v>623</v>
      </c>
      <c r="K66" s="24" t="s">
        <v>624</v>
      </c>
      <c r="L66" s="24" t="s">
        <v>625</v>
      </c>
      <c r="M66" t="s">
        <v>113</v>
      </c>
      <c r="N66" t="s">
        <v>626</v>
      </c>
      <c r="O66" t="s">
        <v>27</v>
      </c>
      <c r="P66" t="s">
        <v>172</v>
      </c>
      <c r="Q66" s="1">
        <v>7.0000000000000007E-2</v>
      </c>
      <c r="R66" t="s">
        <v>12</v>
      </c>
      <c r="S66" s="24" t="s">
        <v>627</v>
      </c>
    </row>
    <row r="67" spans="2:19" x14ac:dyDescent="0.3">
      <c r="B67" t="s">
        <v>628</v>
      </c>
      <c r="C67" t="s">
        <v>163</v>
      </c>
      <c r="D67" t="s">
        <v>164</v>
      </c>
      <c r="E67" t="s">
        <v>9</v>
      </c>
      <c r="F67" t="s">
        <v>629</v>
      </c>
      <c r="G67" t="s">
        <v>504</v>
      </c>
      <c r="H67" t="s">
        <v>672</v>
      </c>
      <c r="I67" t="s">
        <v>630</v>
      </c>
      <c r="J67" t="s">
        <v>631</v>
      </c>
      <c r="K67" s="24" t="s">
        <v>632</v>
      </c>
      <c r="L67" s="24" t="s">
        <v>633</v>
      </c>
      <c r="M67" t="s">
        <v>143</v>
      </c>
      <c r="N67" t="s">
        <v>634</v>
      </c>
      <c r="O67" t="s">
        <v>27</v>
      </c>
      <c r="P67" t="s">
        <v>172</v>
      </c>
      <c r="Q67" s="1">
        <v>0.12</v>
      </c>
      <c r="R67" t="s">
        <v>12</v>
      </c>
      <c r="S67" s="24" t="s">
        <v>635</v>
      </c>
    </row>
    <row r="68" spans="2:19" x14ac:dyDescent="0.3">
      <c r="B68" t="s">
        <v>636</v>
      </c>
      <c r="C68" t="s">
        <v>637</v>
      </c>
      <c r="D68" t="s">
        <v>637</v>
      </c>
      <c r="E68" t="s">
        <v>9</v>
      </c>
      <c r="F68" t="s">
        <v>340</v>
      </c>
      <c r="G68" t="s">
        <v>638</v>
      </c>
      <c r="H68" t="s">
        <v>108</v>
      </c>
      <c r="I68" t="s">
        <v>639</v>
      </c>
      <c r="J68" t="s">
        <v>640</v>
      </c>
      <c r="K68" s="24" t="s">
        <v>641</v>
      </c>
      <c r="L68" s="24" t="s">
        <v>642</v>
      </c>
      <c r="M68" t="s">
        <v>46</v>
      </c>
      <c r="N68" t="s">
        <v>643</v>
      </c>
      <c r="O68" t="s">
        <v>27</v>
      </c>
      <c r="P68" t="s">
        <v>81</v>
      </c>
      <c r="Q68" s="1">
        <v>0.27</v>
      </c>
      <c r="R68" t="s">
        <v>12</v>
      </c>
      <c r="S68" s="24" t="s">
        <v>644</v>
      </c>
    </row>
    <row r="69" spans="2:19" x14ac:dyDescent="0.3">
      <c r="B69" t="s">
        <v>645</v>
      </c>
      <c r="C69" t="s">
        <v>321</v>
      </c>
      <c r="D69" t="s">
        <v>358</v>
      </c>
      <c r="E69" t="s">
        <v>9</v>
      </c>
      <c r="F69" t="s">
        <v>119</v>
      </c>
      <c r="G69" t="s">
        <v>646</v>
      </c>
      <c r="H69" t="s">
        <v>305</v>
      </c>
      <c r="I69" t="s">
        <v>647</v>
      </c>
      <c r="J69" t="s">
        <v>648</v>
      </c>
      <c r="K69" s="24" t="s">
        <v>649</v>
      </c>
      <c r="L69" s="24" t="s">
        <v>650</v>
      </c>
      <c r="M69" t="s">
        <v>345</v>
      </c>
      <c r="N69" t="s">
        <v>651</v>
      </c>
      <c r="O69" t="s">
        <v>262</v>
      </c>
      <c r="P69" t="s">
        <v>336</v>
      </c>
      <c r="Q69" s="1">
        <v>0.47</v>
      </c>
      <c r="R69" t="s">
        <v>12</v>
      </c>
      <c r="S69" s="24" t="s">
        <v>652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2545-2391-4A2E-BE40-0E93F8FB45B9}">
  <dimension ref="B1:H15"/>
  <sheetViews>
    <sheetView workbookViewId="0">
      <selection activeCell="F15" sqref="F15"/>
    </sheetView>
  </sheetViews>
  <sheetFormatPr defaultRowHeight="14.4" x14ac:dyDescent="0.3"/>
  <cols>
    <col min="2" max="2" width="22.21875" bestFit="1" customWidth="1"/>
    <col min="3" max="4" width="17.5546875" bestFit="1" customWidth="1"/>
    <col min="5" max="5" width="11.6640625" bestFit="1" customWidth="1"/>
    <col min="6" max="6" width="11.44140625" bestFit="1" customWidth="1"/>
    <col min="7" max="8" width="11.6640625" bestFit="1" customWidth="1"/>
    <col min="10" max="10" width="11.6640625" bestFit="1" customWidth="1"/>
  </cols>
  <sheetData>
    <row r="1" spans="2:8" ht="18" x14ac:dyDescent="0.35">
      <c r="B1" s="35" t="s">
        <v>686</v>
      </c>
      <c r="C1" s="35"/>
      <c r="D1" s="35"/>
      <c r="E1" s="35"/>
      <c r="F1" s="35"/>
      <c r="G1" s="35"/>
      <c r="H1" s="35"/>
    </row>
    <row r="2" spans="2:8" x14ac:dyDescent="0.3">
      <c r="B2" s="30" t="s">
        <v>0</v>
      </c>
      <c r="D2" s="30" t="s">
        <v>80</v>
      </c>
      <c r="F2" s="30" t="s">
        <v>41</v>
      </c>
      <c r="H2" s="30" t="s">
        <v>24</v>
      </c>
    </row>
    <row r="3" spans="2:8" x14ac:dyDescent="0.3">
      <c r="B3" s="32" t="s">
        <v>1</v>
      </c>
      <c r="D3" s="32" t="s">
        <v>685</v>
      </c>
      <c r="F3" s="32" t="s">
        <v>345</v>
      </c>
      <c r="H3" s="32" t="s">
        <v>657</v>
      </c>
    </row>
    <row r="4" spans="2:8" x14ac:dyDescent="0.3">
      <c r="B4" s="32" t="s">
        <v>2</v>
      </c>
      <c r="D4" s="32" t="s">
        <v>684</v>
      </c>
      <c r="F4" s="32" t="s">
        <v>46</v>
      </c>
      <c r="H4" s="32" t="s">
        <v>656</v>
      </c>
    </row>
    <row r="5" spans="2:8" x14ac:dyDescent="0.3">
      <c r="B5" s="32" t="s">
        <v>3</v>
      </c>
      <c r="D5" s="32" t="s">
        <v>683</v>
      </c>
      <c r="F5" s="32" t="s">
        <v>113</v>
      </c>
      <c r="H5" s="33" t="s">
        <v>262</v>
      </c>
    </row>
    <row r="6" spans="2:8" x14ac:dyDescent="0.3">
      <c r="B6" s="32" t="s">
        <v>4</v>
      </c>
      <c r="D6" s="32" t="s">
        <v>682</v>
      </c>
      <c r="F6" s="32" t="s">
        <v>42</v>
      </c>
    </row>
    <row r="7" spans="2:8" x14ac:dyDescent="0.3">
      <c r="B7" s="32" t="s">
        <v>5</v>
      </c>
      <c r="D7" s="32" t="s">
        <v>681</v>
      </c>
      <c r="F7" s="32" t="s">
        <v>143</v>
      </c>
    </row>
    <row r="8" spans="2:8" x14ac:dyDescent="0.3">
      <c r="B8" s="32" t="s">
        <v>658</v>
      </c>
      <c r="D8" s="32" t="s">
        <v>680</v>
      </c>
      <c r="F8" s="33" t="s">
        <v>81</v>
      </c>
    </row>
    <row r="9" spans="2:8" x14ac:dyDescent="0.3">
      <c r="B9" s="32" t="s">
        <v>659</v>
      </c>
      <c r="D9" s="33" t="s">
        <v>679</v>
      </c>
    </row>
    <row r="10" spans="2:8" x14ac:dyDescent="0.3">
      <c r="B10" s="32" t="s">
        <v>660</v>
      </c>
    </row>
    <row r="11" spans="2:8" x14ac:dyDescent="0.3">
      <c r="B11" s="32" t="s">
        <v>661</v>
      </c>
    </row>
    <row r="12" spans="2:8" x14ac:dyDescent="0.3">
      <c r="B12" s="32" t="s">
        <v>6</v>
      </c>
    </row>
    <row r="13" spans="2:8" x14ac:dyDescent="0.3">
      <c r="B13" s="32" t="s">
        <v>662</v>
      </c>
    </row>
    <row r="14" spans="2:8" x14ac:dyDescent="0.3">
      <c r="B14" s="32" t="s">
        <v>663</v>
      </c>
    </row>
    <row r="15" spans="2:8" x14ac:dyDescent="0.3">
      <c r="B15" s="33" t="s">
        <v>664</v>
      </c>
    </row>
  </sheetData>
  <mergeCells count="1">
    <mergeCell ref="B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6844-8B0F-4708-B9F1-137E6FA1664A}">
  <dimension ref="E16:U84"/>
  <sheetViews>
    <sheetView topLeftCell="B8" zoomScale="62" zoomScaleNormal="62" workbookViewId="0">
      <selection activeCell="F52" sqref="F52"/>
    </sheetView>
  </sheetViews>
  <sheetFormatPr defaultRowHeight="14.4" x14ac:dyDescent="0.3"/>
  <cols>
    <col min="2" max="2" width="19.88671875" bestFit="1" customWidth="1"/>
    <col min="3" max="3" width="15.88671875" bestFit="1" customWidth="1"/>
    <col min="5" max="5" width="20.21875" bestFit="1" customWidth="1"/>
    <col min="6" max="6" width="29.88671875" bestFit="1" customWidth="1"/>
    <col min="8" max="8" width="40.109375" bestFit="1" customWidth="1"/>
    <col min="9" max="9" width="21.77734375" bestFit="1" customWidth="1"/>
    <col min="11" max="11" width="17.6640625" bestFit="1" customWidth="1"/>
    <col min="12" max="12" width="21.77734375" bestFit="1" customWidth="1"/>
    <col min="14" max="14" width="58.6640625" bestFit="1" customWidth="1"/>
    <col min="15" max="15" width="21.77734375" bestFit="1" customWidth="1"/>
    <col min="17" max="17" width="23.5546875" bestFit="1" customWidth="1"/>
    <col min="18" max="18" width="33.77734375" bestFit="1" customWidth="1"/>
    <col min="20" max="20" width="23.5546875" bestFit="1" customWidth="1"/>
    <col min="21" max="21" width="29.88671875" bestFit="1" customWidth="1"/>
  </cols>
  <sheetData>
    <row r="16" spans="5:21" x14ac:dyDescent="0.3">
      <c r="E16" s="3" t="s">
        <v>665</v>
      </c>
      <c r="F16" t="s">
        <v>667</v>
      </c>
      <c r="H16" s="3" t="s">
        <v>665</v>
      </c>
      <c r="I16" t="s">
        <v>667</v>
      </c>
      <c r="K16" s="3" t="s">
        <v>665</v>
      </c>
      <c r="L16" t="s">
        <v>667</v>
      </c>
      <c r="N16" s="3" t="s">
        <v>665</v>
      </c>
      <c r="O16" t="s">
        <v>667</v>
      </c>
      <c r="Q16" s="3" t="s">
        <v>665</v>
      </c>
      <c r="R16" t="s">
        <v>667</v>
      </c>
      <c r="T16" s="3" t="s">
        <v>665</v>
      </c>
      <c r="U16" t="s">
        <v>667</v>
      </c>
    </row>
    <row r="17" spans="5:21" x14ac:dyDescent="0.3">
      <c r="E17" s="4" t="s">
        <v>29</v>
      </c>
      <c r="F17">
        <v>3</v>
      </c>
      <c r="H17" s="4" t="s">
        <v>265</v>
      </c>
      <c r="I17">
        <v>2</v>
      </c>
      <c r="K17" s="4" t="s">
        <v>62</v>
      </c>
      <c r="L17">
        <v>26</v>
      </c>
      <c r="N17" s="4" t="s">
        <v>432</v>
      </c>
      <c r="O17">
        <v>1</v>
      </c>
      <c r="Q17" s="4" t="s">
        <v>46</v>
      </c>
      <c r="R17">
        <v>26</v>
      </c>
      <c r="T17" s="4" t="s">
        <v>81</v>
      </c>
      <c r="U17">
        <v>17</v>
      </c>
    </row>
    <row r="18" spans="5:21" x14ac:dyDescent="0.3">
      <c r="E18" s="4" t="s">
        <v>155</v>
      </c>
      <c r="F18">
        <v>2</v>
      </c>
      <c r="H18" s="4" t="s">
        <v>94</v>
      </c>
      <c r="I18">
        <v>5</v>
      </c>
      <c r="K18" s="4" t="s">
        <v>672</v>
      </c>
      <c r="L18">
        <v>4</v>
      </c>
      <c r="N18" s="4" t="s">
        <v>412</v>
      </c>
      <c r="O18">
        <v>1</v>
      </c>
      <c r="Q18" s="4" t="s">
        <v>81</v>
      </c>
      <c r="R18">
        <v>1</v>
      </c>
      <c r="T18" s="4" t="s">
        <v>42</v>
      </c>
      <c r="U18">
        <v>5</v>
      </c>
    </row>
    <row r="19" spans="5:21" x14ac:dyDescent="0.3">
      <c r="E19" s="4" t="s">
        <v>383</v>
      </c>
      <c r="F19">
        <v>3</v>
      </c>
      <c r="H19" s="4" t="s">
        <v>155</v>
      </c>
      <c r="I19">
        <v>2</v>
      </c>
      <c r="K19" s="4" t="s">
        <v>97</v>
      </c>
      <c r="L19">
        <v>3</v>
      </c>
      <c r="N19" s="4" t="s">
        <v>580</v>
      </c>
      <c r="O19">
        <v>1</v>
      </c>
      <c r="Q19" s="4" t="s">
        <v>143</v>
      </c>
      <c r="R19">
        <v>6</v>
      </c>
      <c r="T19" s="4" t="s">
        <v>113</v>
      </c>
      <c r="U19">
        <v>1</v>
      </c>
    </row>
    <row r="20" spans="5:21" x14ac:dyDescent="0.3">
      <c r="E20" s="4" t="s">
        <v>245</v>
      </c>
      <c r="F20">
        <v>2</v>
      </c>
      <c r="H20" s="4" t="s">
        <v>427</v>
      </c>
      <c r="I20">
        <v>2</v>
      </c>
      <c r="K20" s="4" t="s">
        <v>673</v>
      </c>
      <c r="L20">
        <v>2</v>
      </c>
      <c r="N20" s="4" t="s">
        <v>497</v>
      </c>
      <c r="O20">
        <v>1</v>
      </c>
      <c r="Q20" s="4" t="s">
        <v>42</v>
      </c>
      <c r="R20">
        <v>11</v>
      </c>
      <c r="T20" s="4" t="s">
        <v>172</v>
      </c>
      <c r="U20">
        <v>5</v>
      </c>
    </row>
    <row r="21" spans="5:21" x14ac:dyDescent="0.3">
      <c r="E21" s="4" t="s">
        <v>164</v>
      </c>
      <c r="F21">
        <v>2</v>
      </c>
      <c r="H21" s="4" t="s">
        <v>181</v>
      </c>
      <c r="I21">
        <v>2</v>
      </c>
      <c r="K21" s="4" t="s">
        <v>638</v>
      </c>
      <c r="L21">
        <v>2</v>
      </c>
      <c r="N21" s="4" t="s">
        <v>640</v>
      </c>
      <c r="O21">
        <v>1</v>
      </c>
      <c r="Q21" s="4" t="s">
        <v>113</v>
      </c>
      <c r="R21">
        <v>15</v>
      </c>
      <c r="T21" s="4" t="s">
        <v>666</v>
      </c>
      <c r="U21">
        <v>28</v>
      </c>
    </row>
    <row r="22" spans="5:21" x14ac:dyDescent="0.3">
      <c r="E22" s="4" t="s">
        <v>467</v>
      </c>
      <c r="F22">
        <v>2</v>
      </c>
      <c r="H22" s="4" t="s">
        <v>163</v>
      </c>
      <c r="I22">
        <v>2</v>
      </c>
      <c r="K22" s="4" t="s">
        <v>129</v>
      </c>
      <c r="L22">
        <v>5</v>
      </c>
      <c r="N22" s="4" t="s">
        <v>623</v>
      </c>
      <c r="O22">
        <v>1</v>
      </c>
      <c r="Q22" s="4" t="s">
        <v>345</v>
      </c>
      <c r="R22">
        <v>9</v>
      </c>
    </row>
    <row r="23" spans="5:21" x14ac:dyDescent="0.3">
      <c r="E23" s="4" t="s">
        <v>201</v>
      </c>
      <c r="F23">
        <v>2</v>
      </c>
      <c r="H23" s="4" t="s">
        <v>382</v>
      </c>
      <c r="I23">
        <v>3</v>
      </c>
      <c r="K23" s="4" t="s">
        <v>671</v>
      </c>
      <c r="L23">
        <v>3</v>
      </c>
      <c r="N23" s="4" t="s">
        <v>268</v>
      </c>
      <c r="O23">
        <v>1</v>
      </c>
      <c r="Q23" s="4" t="s">
        <v>666</v>
      </c>
      <c r="R23">
        <v>68</v>
      </c>
    </row>
    <row r="24" spans="5:21" x14ac:dyDescent="0.3">
      <c r="E24" s="4" t="s">
        <v>358</v>
      </c>
      <c r="F24">
        <v>3</v>
      </c>
      <c r="H24" s="4" t="s">
        <v>30</v>
      </c>
      <c r="I24">
        <v>3</v>
      </c>
      <c r="K24" s="4" t="s">
        <v>32</v>
      </c>
      <c r="L24">
        <v>5</v>
      </c>
      <c r="N24" s="4" t="s">
        <v>247</v>
      </c>
      <c r="O24">
        <v>2</v>
      </c>
      <c r="U24" s="5" t="s">
        <v>676</v>
      </c>
    </row>
    <row r="25" spans="5:21" x14ac:dyDescent="0.3">
      <c r="E25" s="4" t="s">
        <v>95</v>
      </c>
      <c r="F25">
        <v>5</v>
      </c>
      <c r="H25" s="4" t="s">
        <v>466</v>
      </c>
      <c r="I25">
        <v>2</v>
      </c>
      <c r="K25" s="4" t="s">
        <v>72</v>
      </c>
      <c r="L25">
        <v>3</v>
      </c>
      <c r="N25" s="4" t="s">
        <v>157</v>
      </c>
      <c r="O25">
        <v>1</v>
      </c>
      <c r="Q25" s="3" t="s">
        <v>665</v>
      </c>
      <c r="R25" t="s">
        <v>668</v>
      </c>
      <c r="T25" s="4" t="s">
        <v>348</v>
      </c>
      <c r="U25" s="1">
        <v>0.69</v>
      </c>
    </row>
    <row r="26" spans="5:21" x14ac:dyDescent="0.3">
      <c r="E26" s="4" t="s">
        <v>428</v>
      </c>
      <c r="F26">
        <v>2</v>
      </c>
      <c r="H26" s="4" t="s">
        <v>321</v>
      </c>
      <c r="I26">
        <v>4</v>
      </c>
      <c r="K26" s="4" t="s">
        <v>108</v>
      </c>
      <c r="L26">
        <v>3</v>
      </c>
      <c r="N26" s="4" t="s">
        <v>460</v>
      </c>
      <c r="O26">
        <v>1</v>
      </c>
      <c r="Q26" s="4" t="s">
        <v>46</v>
      </c>
      <c r="R26" s="1">
        <v>0.37653846153846149</v>
      </c>
      <c r="T26" s="4" t="s">
        <v>409</v>
      </c>
      <c r="U26" s="1">
        <v>0.68</v>
      </c>
    </row>
    <row r="27" spans="5:21" x14ac:dyDescent="0.3">
      <c r="E27" s="4" t="s">
        <v>182</v>
      </c>
      <c r="F27">
        <v>2</v>
      </c>
      <c r="H27" s="4" t="s">
        <v>201</v>
      </c>
      <c r="I27">
        <v>2</v>
      </c>
      <c r="K27" s="4" t="s">
        <v>305</v>
      </c>
      <c r="L27">
        <v>8</v>
      </c>
      <c r="N27" s="4" t="s">
        <v>332</v>
      </c>
      <c r="O27">
        <v>1</v>
      </c>
      <c r="Q27" s="4" t="s">
        <v>81</v>
      </c>
      <c r="R27" s="1">
        <v>0.12</v>
      </c>
      <c r="T27" s="4" t="s">
        <v>48</v>
      </c>
      <c r="U27" s="1">
        <v>0.67</v>
      </c>
    </row>
    <row r="28" spans="5:21" x14ac:dyDescent="0.3">
      <c r="E28" s="4" t="s">
        <v>128</v>
      </c>
      <c r="F28">
        <v>5</v>
      </c>
      <c r="H28" s="4" t="s">
        <v>244</v>
      </c>
      <c r="I28">
        <v>2</v>
      </c>
      <c r="K28" s="4" t="s">
        <v>666</v>
      </c>
      <c r="L28">
        <v>64</v>
      </c>
      <c r="N28" s="4" t="s">
        <v>185</v>
      </c>
      <c r="O28">
        <v>1</v>
      </c>
      <c r="Q28" s="4" t="s">
        <v>143</v>
      </c>
      <c r="R28" s="1">
        <v>0.155</v>
      </c>
      <c r="T28" s="4" t="s">
        <v>417</v>
      </c>
      <c r="U28" s="1">
        <v>0.65</v>
      </c>
    </row>
    <row r="29" spans="5:21" x14ac:dyDescent="0.3">
      <c r="E29" s="4" t="s">
        <v>266</v>
      </c>
      <c r="F29">
        <v>2</v>
      </c>
      <c r="H29" s="4" t="s">
        <v>128</v>
      </c>
      <c r="I29">
        <v>5</v>
      </c>
      <c r="N29" s="4" t="s">
        <v>220</v>
      </c>
      <c r="O29">
        <v>1</v>
      </c>
      <c r="Q29" s="4" t="s">
        <v>42</v>
      </c>
      <c r="R29" s="1">
        <v>0.1990909090909091</v>
      </c>
      <c r="T29" s="4" t="s">
        <v>474</v>
      </c>
      <c r="U29" s="1">
        <v>0.62</v>
      </c>
    </row>
    <row r="30" spans="5:21" x14ac:dyDescent="0.3">
      <c r="E30" s="4" t="s">
        <v>666</v>
      </c>
      <c r="F30">
        <v>35</v>
      </c>
      <c r="H30" s="4" t="s">
        <v>666</v>
      </c>
      <c r="I30">
        <v>36</v>
      </c>
      <c r="N30" s="4" t="s">
        <v>297</v>
      </c>
      <c r="O30">
        <v>1</v>
      </c>
      <c r="Q30" s="4" t="s">
        <v>113</v>
      </c>
      <c r="R30" s="1">
        <v>0.2266666666666666</v>
      </c>
      <c r="T30" s="4" t="s">
        <v>549</v>
      </c>
      <c r="U30" s="1">
        <v>0.59</v>
      </c>
    </row>
    <row r="31" spans="5:21" x14ac:dyDescent="0.3">
      <c r="N31" s="4" t="s">
        <v>342</v>
      </c>
      <c r="O31">
        <v>1</v>
      </c>
      <c r="Q31" s="4" t="s">
        <v>345</v>
      </c>
      <c r="R31" s="1">
        <v>0.50555555555555554</v>
      </c>
      <c r="T31" s="4" t="s">
        <v>127</v>
      </c>
      <c r="U31" s="1">
        <v>0.55000000000000004</v>
      </c>
    </row>
    <row r="32" spans="5:21" x14ac:dyDescent="0.3">
      <c r="N32" s="4" t="s">
        <v>506</v>
      </c>
      <c r="O32">
        <v>1</v>
      </c>
      <c r="Q32" s="4" t="s">
        <v>666</v>
      </c>
      <c r="R32" s="1">
        <v>0.30852941176470594</v>
      </c>
      <c r="T32" s="4" t="s">
        <v>225</v>
      </c>
      <c r="U32" s="1">
        <v>0.55000000000000004</v>
      </c>
    </row>
    <row r="33" spans="5:21" x14ac:dyDescent="0.3">
      <c r="E33" s="3" t="s">
        <v>665</v>
      </c>
      <c r="F33" t="s">
        <v>676</v>
      </c>
      <c r="N33" s="4" t="s">
        <v>515</v>
      </c>
      <c r="O33">
        <v>1</v>
      </c>
      <c r="T33" s="4" t="s">
        <v>465</v>
      </c>
      <c r="U33" s="1">
        <v>0.53</v>
      </c>
    </row>
    <row r="34" spans="5:21" x14ac:dyDescent="0.3">
      <c r="E34" s="4" t="s">
        <v>465</v>
      </c>
      <c r="F34" s="1">
        <v>0.53</v>
      </c>
      <c r="N34" s="4" t="s">
        <v>140</v>
      </c>
      <c r="O34">
        <v>1</v>
      </c>
      <c r="R34" s="5" t="s">
        <v>667</v>
      </c>
      <c r="T34" s="4" t="s">
        <v>82</v>
      </c>
      <c r="U34" s="1">
        <v>0.52</v>
      </c>
    </row>
    <row r="35" spans="5:21" x14ac:dyDescent="0.3">
      <c r="E35" s="4" t="s">
        <v>549</v>
      </c>
      <c r="F35" s="1">
        <v>0.59</v>
      </c>
      <c r="N35" s="4" t="s">
        <v>478</v>
      </c>
      <c r="O35">
        <v>1</v>
      </c>
      <c r="Q35" s="4" t="s">
        <v>345</v>
      </c>
      <c r="R35">
        <v>9</v>
      </c>
    </row>
    <row r="36" spans="5:21" x14ac:dyDescent="0.3">
      <c r="E36" s="4" t="s">
        <v>82</v>
      </c>
      <c r="F36" s="1">
        <v>0.52</v>
      </c>
      <c r="N36" s="4" t="s">
        <v>605</v>
      </c>
      <c r="O36">
        <v>1</v>
      </c>
      <c r="Q36" s="4" t="s">
        <v>46</v>
      </c>
      <c r="R36">
        <v>26</v>
      </c>
    </row>
    <row r="37" spans="5:21" x14ac:dyDescent="0.3">
      <c r="E37" s="4" t="s">
        <v>127</v>
      </c>
      <c r="F37" s="1">
        <v>0.55000000000000004</v>
      </c>
      <c r="N37" s="4" t="s">
        <v>421</v>
      </c>
      <c r="O37">
        <v>1</v>
      </c>
      <c r="Q37" s="4" t="s">
        <v>113</v>
      </c>
      <c r="R37">
        <v>15</v>
      </c>
    </row>
    <row r="38" spans="5:21" x14ac:dyDescent="0.3">
      <c r="E38" s="4" t="s">
        <v>48</v>
      </c>
      <c r="F38" s="1">
        <v>0.67</v>
      </c>
      <c r="N38" s="4" t="s">
        <v>386</v>
      </c>
      <c r="O38">
        <v>1</v>
      </c>
      <c r="Q38" s="4" t="s">
        <v>42</v>
      </c>
      <c r="R38">
        <v>11</v>
      </c>
    </row>
    <row r="39" spans="5:21" x14ac:dyDescent="0.3">
      <c r="E39" s="4" t="s">
        <v>417</v>
      </c>
      <c r="F39" s="1">
        <v>0.65</v>
      </c>
      <c r="N39" s="4" t="s">
        <v>286</v>
      </c>
      <c r="O39">
        <v>1</v>
      </c>
      <c r="Q39" s="4" t="s">
        <v>143</v>
      </c>
      <c r="R39">
        <v>6</v>
      </c>
    </row>
    <row r="40" spans="5:21" x14ac:dyDescent="0.3">
      <c r="E40" s="4" t="s">
        <v>409</v>
      </c>
      <c r="F40" s="1">
        <v>0.68</v>
      </c>
      <c r="N40" s="4" t="s">
        <v>570</v>
      </c>
      <c r="O40">
        <v>1</v>
      </c>
      <c r="Q40" s="4" t="s">
        <v>81</v>
      </c>
      <c r="R40">
        <v>1</v>
      </c>
    </row>
    <row r="41" spans="5:21" x14ac:dyDescent="0.3">
      <c r="E41" s="4" t="s">
        <v>348</v>
      </c>
      <c r="F41" s="1">
        <v>0.69</v>
      </c>
      <c r="N41" s="4" t="s">
        <v>544</v>
      </c>
      <c r="O41">
        <v>1</v>
      </c>
      <c r="Q41" s="6" t="s">
        <v>666</v>
      </c>
      <c r="R41" s="7">
        <v>68</v>
      </c>
    </row>
    <row r="42" spans="5:21" x14ac:dyDescent="0.3">
      <c r="E42" s="4" t="s">
        <v>474</v>
      </c>
      <c r="F42" s="1">
        <v>0.62</v>
      </c>
      <c r="N42" s="4" t="s">
        <v>469</v>
      </c>
      <c r="O42">
        <v>1</v>
      </c>
    </row>
    <row r="43" spans="5:21" x14ac:dyDescent="0.3">
      <c r="E43" s="4" t="s">
        <v>225</v>
      </c>
      <c r="F43" s="1">
        <v>0.55000000000000004</v>
      </c>
      <c r="N43" s="4" t="s">
        <v>535</v>
      </c>
      <c r="O43">
        <v>1</v>
      </c>
      <c r="R43" s="5" t="s">
        <v>668</v>
      </c>
    </row>
    <row r="44" spans="5:21" x14ac:dyDescent="0.3">
      <c r="E44" s="4" t="s">
        <v>666</v>
      </c>
      <c r="F44" s="1">
        <v>0.69</v>
      </c>
      <c r="N44" s="4" t="s">
        <v>54</v>
      </c>
      <c r="O44">
        <v>1</v>
      </c>
      <c r="Q44" s="4" t="s">
        <v>345</v>
      </c>
      <c r="R44" s="1">
        <v>0.50555555555555554</v>
      </c>
    </row>
    <row r="45" spans="5:21" x14ac:dyDescent="0.3">
      <c r="N45" s="4" t="s">
        <v>443</v>
      </c>
      <c r="O45">
        <v>1</v>
      </c>
      <c r="Q45" s="4" t="s">
        <v>46</v>
      </c>
      <c r="R45" s="1">
        <v>0.37653846153846149</v>
      </c>
    </row>
    <row r="46" spans="5:21" x14ac:dyDescent="0.3">
      <c r="N46" s="4" t="s">
        <v>258</v>
      </c>
      <c r="O46">
        <v>1</v>
      </c>
      <c r="Q46" s="4" t="s">
        <v>113</v>
      </c>
      <c r="R46" s="1">
        <v>0.2266666666666666</v>
      </c>
    </row>
    <row r="47" spans="5:21" x14ac:dyDescent="0.3">
      <c r="N47" s="4" t="s">
        <v>562</v>
      </c>
      <c r="O47">
        <v>1</v>
      </c>
      <c r="Q47" s="4" t="s">
        <v>42</v>
      </c>
      <c r="R47" s="1">
        <v>0.1990909090909091</v>
      </c>
    </row>
    <row r="48" spans="5:21" x14ac:dyDescent="0.3">
      <c r="N48" s="4" t="s">
        <v>587</v>
      </c>
      <c r="O48">
        <v>1</v>
      </c>
      <c r="Q48" s="4" t="s">
        <v>143</v>
      </c>
      <c r="R48" s="1">
        <v>0.155</v>
      </c>
    </row>
    <row r="49" spans="14:18" x14ac:dyDescent="0.3">
      <c r="N49" s="4" t="s">
        <v>523</v>
      </c>
      <c r="O49">
        <v>1</v>
      </c>
      <c r="Q49" s="4" t="s">
        <v>81</v>
      </c>
      <c r="R49" s="1">
        <v>0.12</v>
      </c>
    </row>
    <row r="50" spans="14:18" x14ac:dyDescent="0.3">
      <c r="N50" s="4" t="s">
        <v>211</v>
      </c>
      <c r="O50">
        <v>1</v>
      </c>
      <c r="Q50" s="6" t="s">
        <v>666</v>
      </c>
      <c r="R50" s="8">
        <v>0.30852941176470594</v>
      </c>
    </row>
    <row r="51" spans="14:18" x14ac:dyDescent="0.3">
      <c r="N51" s="4" t="s">
        <v>631</v>
      </c>
      <c r="O51">
        <v>1</v>
      </c>
    </row>
    <row r="52" spans="14:18" x14ac:dyDescent="0.3">
      <c r="N52" s="4" t="s">
        <v>488</v>
      </c>
      <c r="O52">
        <v>1</v>
      </c>
      <c r="R52" s="5" t="s">
        <v>667</v>
      </c>
    </row>
    <row r="53" spans="14:18" x14ac:dyDescent="0.3">
      <c r="N53" s="4" t="s">
        <v>404</v>
      </c>
      <c r="O53">
        <v>1</v>
      </c>
      <c r="Q53" s="4" t="s">
        <v>95</v>
      </c>
      <c r="R53">
        <v>5</v>
      </c>
    </row>
    <row r="54" spans="14:18" x14ac:dyDescent="0.3">
      <c r="N54" s="4" t="s">
        <v>307</v>
      </c>
      <c r="O54">
        <v>1</v>
      </c>
      <c r="Q54" s="4" t="s">
        <v>128</v>
      </c>
      <c r="R54">
        <v>5</v>
      </c>
    </row>
    <row r="55" spans="14:18" x14ac:dyDescent="0.3">
      <c r="N55" s="4" t="s">
        <v>167</v>
      </c>
      <c r="O55">
        <v>1</v>
      </c>
      <c r="Q55" s="4" t="s">
        <v>29</v>
      </c>
      <c r="R55">
        <v>3</v>
      </c>
    </row>
    <row r="56" spans="14:18" x14ac:dyDescent="0.3">
      <c r="N56" s="4" t="s">
        <v>325</v>
      </c>
      <c r="O56">
        <v>1</v>
      </c>
      <c r="Q56" s="4" t="s">
        <v>383</v>
      </c>
      <c r="R56">
        <v>3</v>
      </c>
    </row>
    <row r="57" spans="14:18" x14ac:dyDescent="0.3">
      <c r="N57" s="4" t="s">
        <v>88</v>
      </c>
      <c r="O57">
        <v>1</v>
      </c>
      <c r="Q57" s="4" t="s">
        <v>358</v>
      </c>
      <c r="R57">
        <v>3</v>
      </c>
    </row>
    <row r="58" spans="14:18" x14ac:dyDescent="0.3">
      <c r="N58" s="4" t="s">
        <v>122</v>
      </c>
      <c r="O58">
        <v>1</v>
      </c>
      <c r="Q58" s="4" t="s">
        <v>155</v>
      </c>
      <c r="R58">
        <v>2</v>
      </c>
    </row>
    <row r="59" spans="14:18" x14ac:dyDescent="0.3">
      <c r="N59" s="4" t="s">
        <v>615</v>
      </c>
      <c r="O59">
        <v>1</v>
      </c>
      <c r="Q59" s="4" t="s">
        <v>245</v>
      </c>
      <c r="R59">
        <v>2</v>
      </c>
    </row>
    <row r="60" spans="14:18" x14ac:dyDescent="0.3">
      <c r="N60" s="4" t="s">
        <v>648</v>
      </c>
      <c r="O60">
        <v>1</v>
      </c>
      <c r="Q60" s="4" t="s">
        <v>164</v>
      </c>
      <c r="R60">
        <v>2</v>
      </c>
    </row>
    <row r="61" spans="14:18" x14ac:dyDescent="0.3">
      <c r="N61" s="4" t="s">
        <v>204</v>
      </c>
      <c r="O61">
        <v>1</v>
      </c>
      <c r="Q61" s="4" t="s">
        <v>467</v>
      </c>
      <c r="R61">
        <v>2</v>
      </c>
    </row>
    <row r="62" spans="14:18" x14ac:dyDescent="0.3">
      <c r="N62" s="4" t="s">
        <v>361</v>
      </c>
      <c r="O62">
        <v>1</v>
      </c>
      <c r="Q62" s="4" t="s">
        <v>266</v>
      </c>
      <c r="R62">
        <v>2</v>
      </c>
    </row>
    <row r="63" spans="14:18" x14ac:dyDescent="0.3">
      <c r="N63" s="4" t="s">
        <v>453</v>
      </c>
      <c r="O63">
        <v>1</v>
      </c>
      <c r="Q63" s="4"/>
    </row>
    <row r="64" spans="14:18" x14ac:dyDescent="0.3">
      <c r="N64" s="4" t="s">
        <v>553</v>
      </c>
      <c r="O64">
        <v>1</v>
      </c>
      <c r="R64" s="5" t="s">
        <v>667</v>
      </c>
    </row>
    <row r="65" spans="14:18" x14ac:dyDescent="0.3">
      <c r="N65" s="4" t="s">
        <v>195</v>
      </c>
      <c r="O65">
        <v>1</v>
      </c>
      <c r="Q65" s="4" t="s">
        <v>62</v>
      </c>
      <c r="R65">
        <v>26</v>
      </c>
    </row>
    <row r="66" spans="14:18" x14ac:dyDescent="0.3">
      <c r="N66" s="4" t="s">
        <v>376</v>
      </c>
      <c r="O66">
        <v>1</v>
      </c>
      <c r="Q66" s="4" t="s">
        <v>305</v>
      </c>
      <c r="R66">
        <v>8</v>
      </c>
    </row>
    <row r="67" spans="14:18" x14ac:dyDescent="0.3">
      <c r="N67" s="4" t="s">
        <v>654</v>
      </c>
      <c r="O67">
        <v>1</v>
      </c>
      <c r="Q67" s="4" t="s">
        <v>32</v>
      </c>
      <c r="R67">
        <v>5</v>
      </c>
    </row>
    <row r="68" spans="14:18" x14ac:dyDescent="0.3">
      <c r="N68" s="4" t="s">
        <v>99</v>
      </c>
      <c r="O68">
        <v>1</v>
      </c>
      <c r="Q68" s="4" t="s">
        <v>129</v>
      </c>
      <c r="R68">
        <v>5</v>
      </c>
    </row>
    <row r="69" spans="14:18" x14ac:dyDescent="0.3">
      <c r="N69" s="4" t="s">
        <v>352</v>
      </c>
      <c r="O69">
        <v>1</v>
      </c>
      <c r="Q69" s="4" t="s">
        <v>672</v>
      </c>
      <c r="R69">
        <v>4</v>
      </c>
    </row>
    <row r="70" spans="14:18" x14ac:dyDescent="0.3">
      <c r="N70" s="4" t="s">
        <v>595</v>
      </c>
      <c r="O70">
        <v>1</v>
      </c>
      <c r="Q70" s="4" t="s">
        <v>97</v>
      </c>
      <c r="R70">
        <v>3</v>
      </c>
    </row>
    <row r="71" spans="14:18" x14ac:dyDescent="0.3">
      <c r="N71" s="4" t="s">
        <v>278</v>
      </c>
      <c r="O71">
        <v>1</v>
      </c>
      <c r="Q71" s="4" t="s">
        <v>671</v>
      </c>
      <c r="R71">
        <v>3</v>
      </c>
    </row>
    <row r="72" spans="14:18" x14ac:dyDescent="0.3">
      <c r="N72" s="4" t="s">
        <v>149</v>
      </c>
      <c r="O72">
        <v>1</v>
      </c>
      <c r="Q72" s="4" t="s">
        <v>72</v>
      </c>
      <c r="R72">
        <v>3</v>
      </c>
    </row>
    <row r="73" spans="14:18" x14ac:dyDescent="0.3">
      <c r="N73" s="4" t="s">
        <v>238</v>
      </c>
      <c r="O73">
        <v>1</v>
      </c>
      <c r="Q73" s="4" t="s">
        <v>108</v>
      </c>
      <c r="R73">
        <v>3</v>
      </c>
    </row>
    <row r="74" spans="14:18" x14ac:dyDescent="0.3">
      <c r="N74" s="4" t="s">
        <v>35</v>
      </c>
      <c r="O74">
        <v>1</v>
      </c>
      <c r="Q74" s="4" t="s">
        <v>673</v>
      </c>
      <c r="R74">
        <v>2</v>
      </c>
    </row>
    <row r="75" spans="14:18" x14ac:dyDescent="0.3">
      <c r="N75" s="4" t="s">
        <v>65</v>
      </c>
      <c r="O75">
        <v>1</v>
      </c>
    </row>
    <row r="76" spans="14:18" x14ac:dyDescent="0.3">
      <c r="N76" s="4" t="s">
        <v>175</v>
      </c>
      <c r="O76">
        <v>1</v>
      </c>
    </row>
    <row r="77" spans="14:18" x14ac:dyDescent="0.3">
      <c r="N77" s="4" t="s">
        <v>368</v>
      </c>
      <c r="O77">
        <v>1</v>
      </c>
    </row>
    <row r="78" spans="14:18" x14ac:dyDescent="0.3">
      <c r="N78" s="4" t="s">
        <v>75</v>
      </c>
      <c r="O78">
        <v>1</v>
      </c>
    </row>
    <row r="79" spans="14:18" x14ac:dyDescent="0.3">
      <c r="N79" s="4" t="s">
        <v>131</v>
      </c>
      <c r="O79">
        <v>1</v>
      </c>
    </row>
    <row r="80" spans="14:18" x14ac:dyDescent="0.3">
      <c r="N80" s="4" t="s">
        <v>315</v>
      </c>
      <c r="O80">
        <v>1</v>
      </c>
    </row>
    <row r="81" spans="14:15" x14ac:dyDescent="0.3">
      <c r="N81" s="4" t="s">
        <v>231</v>
      </c>
      <c r="O81">
        <v>1</v>
      </c>
    </row>
    <row r="82" spans="14:15" x14ac:dyDescent="0.3">
      <c r="N82" s="4" t="s">
        <v>110</v>
      </c>
      <c r="O82">
        <v>1</v>
      </c>
    </row>
    <row r="83" spans="14:15" x14ac:dyDescent="0.3">
      <c r="N83" s="4" t="s">
        <v>396</v>
      </c>
      <c r="O83">
        <v>1</v>
      </c>
    </row>
    <row r="84" spans="14:15" x14ac:dyDescent="0.3">
      <c r="N84" s="4" t="s">
        <v>666</v>
      </c>
      <c r="O84">
        <v>68</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49CD-D80B-4A68-BD5D-DF38642E0E53}">
  <dimension ref="B98:S125"/>
  <sheetViews>
    <sheetView tabSelected="1" topLeftCell="A94" zoomScale="74" workbookViewId="0">
      <selection activeCell="G103" sqref="G103"/>
    </sheetView>
  </sheetViews>
  <sheetFormatPr defaultRowHeight="14.4" x14ac:dyDescent="0.3"/>
  <cols>
    <col min="2" max="2" width="17.33203125" bestFit="1" customWidth="1"/>
    <col min="3" max="3" width="24.5546875" bestFit="1" customWidth="1"/>
    <col min="4" max="4" width="15.21875" bestFit="1" customWidth="1"/>
    <col min="5" max="5" width="50.21875" bestFit="1" customWidth="1"/>
    <col min="6" max="6" width="17.44140625" bestFit="1" customWidth="1"/>
    <col min="7" max="7" width="21.6640625" bestFit="1" customWidth="1"/>
    <col min="8" max="8" width="39.5546875" bestFit="1" customWidth="1"/>
    <col min="9" max="9" width="16.5546875" bestFit="1" customWidth="1"/>
    <col min="10" max="10" width="14.88671875" bestFit="1" customWidth="1"/>
    <col min="11" max="11" width="25.5546875" bestFit="1" customWidth="1"/>
    <col min="12" max="12" width="10.33203125" bestFit="1" customWidth="1"/>
    <col min="13" max="13" width="16.109375" bestFit="1" customWidth="1"/>
    <col min="14" max="14" width="37.109375" bestFit="1" customWidth="1"/>
    <col min="15" max="15" width="13.109375" bestFit="1" customWidth="1"/>
    <col min="16" max="16" width="15.44140625" bestFit="1" customWidth="1"/>
    <col min="17" max="17" width="30.5546875" bestFit="1" customWidth="1"/>
    <col min="18" max="18" width="17.33203125" bestFit="1" customWidth="1"/>
    <col min="19" max="19" width="17.77734375" bestFit="1" customWidth="1"/>
    <col min="20" max="20" width="49.109375" bestFit="1" customWidth="1"/>
    <col min="21" max="21" width="25.21875" bestFit="1" customWidth="1"/>
    <col min="22" max="22" width="18.33203125" bestFit="1" customWidth="1"/>
    <col min="23" max="23" width="35.77734375" bestFit="1" customWidth="1"/>
    <col min="24" max="24" width="14.6640625" bestFit="1" customWidth="1"/>
    <col min="25" max="25" width="12.44140625" bestFit="1" customWidth="1"/>
    <col min="26" max="26" width="41.5546875" bestFit="1" customWidth="1"/>
    <col min="27" max="27" width="12.21875" bestFit="1" customWidth="1"/>
    <col min="28" max="28" width="18.109375" bestFit="1" customWidth="1"/>
    <col min="29" max="29" width="27.33203125" bestFit="1" customWidth="1"/>
    <col min="30" max="30" width="17.21875" bestFit="1" customWidth="1"/>
    <col min="31" max="31" width="13.21875" bestFit="1" customWidth="1"/>
    <col min="32" max="32" width="34.88671875" bestFit="1" customWidth="1"/>
    <col min="33" max="33" width="13.21875" bestFit="1" customWidth="1"/>
    <col min="34" max="34" width="17.5546875" bestFit="1" customWidth="1"/>
    <col min="35" max="35" width="35" bestFit="1" customWidth="1"/>
    <col min="36" max="36" width="18.44140625" bestFit="1" customWidth="1"/>
    <col min="37" max="37" width="12.88671875" bestFit="1" customWidth="1"/>
    <col min="38" max="38" width="25.77734375" bestFit="1" customWidth="1"/>
    <col min="39" max="39" width="12.33203125" bestFit="1" customWidth="1"/>
    <col min="40" max="40" width="12.44140625" bestFit="1" customWidth="1"/>
    <col min="41" max="41" width="46.77734375" bestFit="1" customWidth="1"/>
    <col min="42" max="42" width="12.109375" bestFit="1" customWidth="1"/>
    <col min="43" max="43" width="15.33203125" bestFit="1" customWidth="1"/>
    <col min="44" max="44" width="42.6640625" bestFit="1" customWidth="1"/>
    <col min="45" max="45" width="16.21875" bestFit="1" customWidth="1"/>
    <col min="46" max="46" width="19" bestFit="1" customWidth="1"/>
    <col min="47" max="47" width="41.88671875" bestFit="1" customWidth="1"/>
    <col min="48" max="48" width="16.5546875" bestFit="1" customWidth="1"/>
    <col min="49" max="49" width="16.44140625" bestFit="1" customWidth="1"/>
    <col min="50" max="50" width="37" bestFit="1" customWidth="1"/>
    <col min="51" max="51" width="12.5546875" bestFit="1" customWidth="1"/>
    <col min="52" max="52" width="9.33203125" bestFit="1" customWidth="1"/>
    <col min="53" max="53" width="33.6640625" bestFit="1" customWidth="1"/>
    <col min="54" max="54" width="13.44140625" bestFit="1" customWidth="1"/>
    <col min="55" max="55" width="19.77734375" bestFit="1" customWidth="1"/>
    <col min="56" max="56" width="39.88671875" bestFit="1" customWidth="1"/>
    <col min="57" max="57" width="16.44140625" bestFit="1" customWidth="1"/>
    <col min="58" max="58" width="17.5546875" bestFit="1" customWidth="1"/>
    <col min="59" max="59" width="31.5546875" bestFit="1" customWidth="1"/>
    <col min="60" max="60" width="10.33203125" bestFit="1" customWidth="1"/>
    <col min="61" max="61" width="16.44140625" bestFit="1" customWidth="1"/>
    <col min="62" max="62" width="46.33203125" bestFit="1" customWidth="1"/>
    <col min="63" max="63" width="14" bestFit="1" customWidth="1"/>
    <col min="64" max="64" width="9" bestFit="1" customWidth="1"/>
    <col min="65" max="65" width="32.21875" bestFit="1" customWidth="1"/>
    <col min="66" max="66" width="11" bestFit="1" customWidth="1"/>
    <col min="67" max="67" width="22.21875" bestFit="1" customWidth="1"/>
    <col min="68" max="68" width="34.44140625" bestFit="1" customWidth="1"/>
    <col min="69" max="69" width="11.77734375" bestFit="1" customWidth="1"/>
    <col min="70" max="70" width="14.33203125" bestFit="1" customWidth="1"/>
    <col min="71" max="71" width="35.5546875" bestFit="1" customWidth="1"/>
    <col min="72" max="72" width="11.21875" bestFit="1" customWidth="1"/>
    <col min="73" max="73" width="18" bestFit="1" customWidth="1"/>
    <col min="74" max="74" width="34.109375" bestFit="1" customWidth="1"/>
    <col min="75" max="75" width="16.44140625" bestFit="1" customWidth="1"/>
    <col min="76" max="76" width="22.5546875" bestFit="1" customWidth="1"/>
    <col min="77" max="77" width="23.44140625" bestFit="1" customWidth="1"/>
    <col min="78" max="78" width="16.44140625" bestFit="1" customWidth="1"/>
    <col min="79" max="79" width="16.6640625" bestFit="1" customWidth="1"/>
    <col min="80" max="80" width="34.77734375" bestFit="1" customWidth="1"/>
    <col min="81" max="81" width="16.21875" bestFit="1" customWidth="1"/>
    <col min="82" max="82" width="11.6640625" bestFit="1" customWidth="1"/>
    <col min="83" max="83" width="44.5546875" bestFit="1" customWidth="1"/>
    <col min="84" max="84" width="10.33203125" bestFit="1" customWidth="1"/>
    <col min="85" max="85" width="18" bestFit="1" customWidth="1"/>
    <col min="86" max="86" width="41.5546875" bestFit="1" customWidth="1"/>
    <col min="87" max="87" width="16.88671875" bestFit="1" customWidth="1"/>
    <col min="88" max="88" width="15.77734375" bestFit="1" customWidth="1"/>
    <col min="89" max="89" width="26" bestFit="1" customWidth="1"/>
    <col min="90" max="90" width="10.6640625" bestFit="1" customWidth="1"/>
    <col min="91" max="91" width="16.109375" bestFit="1" customWidth="1"/>
    <col min="92" max="92" width="45.33203125" bestFit="1" customWidth="1"/>
    <col min="93" max="93" width="19.44140625" bestFit="1" customWidth="1"/>
    <col min="94" max="94" width="17.21875" bestFit="1" customWidth="1"/>
    <col min="95" max="95" width="22.77734375" bestFit="1" customWidth="1"/>
    <col min="96" max="96" width="21.88671875" bestFit="1" customWidth="1"/>
    <col min="97" max="97" width="16" bestFit="1" customWidth="1"/>
    <col min="98" max="98" width="41.6640625" bestFit="1" customWidth="1"/>
    <col min="99" max="99" width="8.88671875" bestFit="1" customWidth="1"/>
    <col min="100" max="100" width="9.5546875" bestFit="1" customWidth="1"/>
    <col min="101" max="101" width="34.5546875" bestFit="1" customWidth="1"/>
    <col min="102" max="102" width="8.44140625" bestFit="1" customWidth="1"/>
    <col min="103" max="103" width="14.44140625" bestFit="1" customWidth="1"/>
    <col min="104" max="104" width="32.77734375" bestFit="1" customWidth="1"/>
    <col min="105" max="105" width="18.109375" bestFit="1" customWidth="1"/>
    <col min="106" max="106" width="17.88671875" bestFit="1" customWidth="1"/>
    <col min="107" max="107" width="26.33203125" bestFit="1" customWidth="1"/>
    <col min="108" max="108" width="8.88671875" bestFit="1" customWidth="1"/>
    <col min="109" max="109" width="17.6640625" bestFit="1" customWidth="1"/>
    <col min="110" max="110" width="37.44140625" bestFit="1" customWidth="1"/>
    <col min="111" max="111" width="30" bestFit="1" customWidth="1"/>
    <col min="112" max="112" width="18.6640625" bestFit="1" customWidth="1"/>
    <col min="113" max="113" width="42.44140625" bestFit="1" customWidth="1"/>
    <col min="114" max="114" width="16.5546875" bestFit="1" customWidth="1"/>
    <col min="115" max="115" width="9.109375" bestFit="1" customWidth="1"/>
    <col min="116" max="116" width="36.44140625" bestFit="1" customWidth="1"/>
    <col min="117" max="117" width="15.6640625" bestFit="1" customWidth="1"/>
    <col min="118" max="118" width="15.33203125" bestFit="1" customWidth="1"/>
    <col min="119" max="119" width="30.109375" bestFit="1" customWidth="1"/>
    <col min="120" max="120" width="14.109375" bestFit="1" customWidth="1"/>
    <col min="121" max="121" width="10.77734375" bestFit="1" customWidth="1"/>
    <col min="122" max="122" width="36.5546875" bestFit="1" customWidth="1"/>
    <col min="123" max="123" width="15.6640625" bestFit="1" customWidth="1"/>
    <col min="124" max="124" width="23.88671875" bestFit="1" customWidth="1"/>
    <col min="125" max="125" width="37.21875" bestFit="1" customWidth="1"/>
    <col min="126" max="126" width="17.33203125" bestFit="1" customWidth="1"/>
    <col min="127" max="127" width="17.6640625" bestFit="1" customWidth="1"/>
    <col min="128" max="128" width="31.33203125" bestFit="1" customWidth="1"/>
    <col min="129" max="129" width="14.88671875" bestFit="1" customWidth="1"/>
    <col min="130" max="130" width="19.88671875" bestFit="1" customWidth="1"/>
    <col min="131" max="131" width="43.21875" bestFit="1" customWidth="1"/>
    <col min="132" max="132" width="16.5546875" bestFit="1" customWidth="1"/>
    <col min="133" max="133" width="16.33203125" bestFit="1" customWidth="1"/>
    <col min="134" max="134" width="37.33203125" bestFit="1" customWidth="1"/>
    <col min="135" max="135" width="15.109375" bestFit="1" customWidth="1"/>
    <col min="136" max="136" width="8.77734375" bestFit="1" customWidth="1"/>
    <col min="137" max="137" width="36" bestFit="1" customWidth="1"/>
    <col min="138" max="138" width="19.6640625" bestFit="1" customWidth="1"/>
    <col min="139" max="139" width="19" bestFit="1" customWidth="1"/>
    <col min="140" max="140" width="42.21875" bestFit="1" customWidth="1"/>
    <col min="141" max="141" width="16.44140625" bestFit="1" customWidth="1"/>
    <col min="142" max="142" width="13.109375" bestFit="1" customWidth="1"/>
    <col min="143" max="143" width="30.88671875" bestFit="1" customWidth="1"/>
    <col min="144" max="144" width="10.33203125" bestFit="1" customWidth="1"/>
    <col min="145" max="145" width="15.88671875" bestFit="1" customWidth="1"/>
    <col min="146" max="146" width="33.33203125" bestFit="1" customWidth="1"/>
    <col min="147" max="147" width="25.21875" bestFit="1" customWidth="1"/>
    <col min="148" max="148" width="18.44140625" bestFit="1" customWidth="1"/>
    <col min="149" max="149" width="28.21875" bestFit="1" customWidth="1"/>
    <col min="150" max="150" width="8.88671875" bestFit="1" customWidth="1"/>
    <col min="151" max="151" width="16.33203125" bestFit="1" customWidth="1"/>
    <col min="152" max="152" width="27.109375" bestFit="1" customWidth="1"/>
    <col min="153" max="153" width="11.21875" bestFit="1" customWidth="1"/>
    <col min="154" max="154" width="17.88671875" bestFit="1" customWidth="1"/>
    <col min="155" max="155" width="48.21875" bestFit="1" customWidth="1"/>
    <col min="156" max="156" width="23.6640625" bestFit="1" customWidth="1"/>
    <col min="157" max="157" width="19.21875" bestFit="1" customWidth="1"/>
    <col min="158" max="158" width="26.44140625" bestFit="1" customWidth="1"/>
    <col min="159" max="159" width="16.44140625" bestFit="1" customWidth="1"/>
    <col min="160" max="160" width="18.44140625" bestFit="1" customWidth="1"/>
    <col min="161" max="161" width="16.109375" bestFit="1" customWidth="1"/>
    <col min="162" max="162" width="19" bestFit="1" customWidth="1"/>
    <col min="163" max="163" width="12.109375" bestFit="1" customWidth="1"/>
    <col min="164" max="164" width="35.33203125" bestFit="1" customWidth="1"/>
    <col min="165" max="165" width="14.88671875" bestFit="1" customWidth="1"/>
    <col min="166" max="166" width="16.21875" bestFit="1" customWidth="1"/>
    <col min="167" max="167" width="33.109375" bestFit="1" customWidth="1"/>
    <col min="168" max="168" width="8.88671875" bestFit="1" customWidth="1"/>
    <col min="169" max="169" width="20.77734375" bestFit="1" customWidth="1"/>
    <col min="170" max="170" width="31.88671875" bestFit="1" customWidth="1"/>
    <col min="171" max="171" width="10.6640625" bestFit="1" customWidth="1"/>
    <col min="172" max="172" width="17.44140625" bestFit="1" customWidth="1"/>
    <col min="173" max="173" width="31.33203125" bestFit="1" customWidth="1"/>
    <col min="174" max="174" width="14.88671875" bestFit="1" customWidth="1"/>
    <col min="175" max="175" width="25.6640625" bestFit="1" customWidth="1"/>
    <col min="176" max="176" width="36.44140625" bestFit="1" customWidth="1"/>
    <col min="177" max="177" width="19.44140625" bestFit="1" customWidth="1"/>
    <col min="178" max="178" width="16.44140625" bestFit="1" customWidth="1"/>
    <col min="179" max="179" width="43.5546875" bestFit="1" customWidth="1"/>
    <col min="180" max="180" width="16.5546875" bestFit="1" customWidth="1"/>
    <col min="181" max="181" width="11.33203125" bestFit="1" customWidth="1"/>
    <col min="182" max="182" width="41.44140625" bestFit="1" customWidth="1"/>
    <col min="183" max="183" width="13.44140625" bestFit="1" customWidth="1"/>
    <col min="184" max="184" width="11" bestFit="1" customWidth="1"/>
    <col min="185" max="185" width="34.5546875" bestFit="1" customWidth="1"/>
    <col min="186" max="186" width="9.44140625" bestFit="1" customWidth="1"/>
    <col min="187" max="187" width="15.88671875" bestFit="1" customWidth="1"/>
    <col min="188" max="188" width="51.5546875" bestFit="1" customWidth="1"/>
    <col min="189" max="189" width="9.6640625" bestFit="1" customWidth="1"/>
    <col min="190" max="190" width="8.6640625" bestFit="1" customWidth="1"/>
    <col min="191" max="191" width="25.88671875" bestFit="1" customWidth="1"/>
    <col min="192" max="192" width="22.109375" bestFit="1" customWidth="1"/>
    <col min="193" max="193" width="19.21875" bestFit="1" customWidth="1"/>
    <col min="194" max="194" width="44.21875" bestFit="1" customWidth="1"/>
    <col min="195" max="195" width="14" bestFit="1" customWidth="1"/>
    <col min="196" max="196" width="18.44140625" bestFit="1" customWidth="1"/>
    <col min="197" max="197" width="31" bestFit="1" customWidth="1"/>
    <col min="198" max="198" width="19.33203125" bestFit="1" customWidth="1"/>
    <col min="199" max="199" width="18" bestFit="1" customWidth="1"/>
    <col min="200" max="200" width="36" bestFit="1" customWidth="1"/>
    <col min="201" max="201" width="15.21875" bestFit="1" customWidth="1"/>
    <col min="202" max="202" width="10.5546875" bestFit="1" customWidth="1"/>
    <col min="203" max="203" width="53" bestFit="1" customWidth="1"/>
    <col min="204" max="204" width="16.44140625" bestFit="1" customWidth="1"/>
    <col min="205" max="205" width="14.6640625" bestFit="1" customWidth="1"/>
    <col min="206" max="206" width="10.5546875" bestFit="1" customWidth="1"/>
    <col min="207" max="207" width="9" bestFit="1" customWidth="1"/>
    <col min="208" max="208" width="23.6640625" bestFit="1" customWidth="1"/>
    <col min="209" max="209" width="19.21875" bestFit="1" customWidth="1"/>
    <col min="210" max="210" width="26.44140625" bestFit="1" customWidth="1"/>
    <col min="211" max="211" width="9" bestFit="1" customWidth="1"/>
    <col min="212" max="212" width="16.44140625" bestFit="1" customWidth="1"/>
    <col min="213" max="213" width="18.44140625" bestFit="1" customWidth="1"/>
    <col min="214" max="214" width="16.109375" bestFit="1" customWidth="1"/>
    <col min="215" max="215" width="9" bestFit="1" customWidth="1"/>
    <col min="216" max="216" width="19" bestFit="1" customWidth="1"/>
    <col min="217" max="217" width="12.109375" bestFit="1" customWidth="1"/>
    <col min="218" max="218" width="35.33203125" bestFit="1" customWidth="1"/>
    <col min="219" max="219" width="9" bestFit="1" customWidth="1"/>
    <col min="220" max="220" width="14.88671875" bestFit="1" customWidth="1"/>
    <col min="221" max="221" width="16.21875" bestFit="1" customWidth="1"/>
    <col min="222" max="222" width="33.109375" bestFit="1" customWidth="1"/>
    <col min="223" max="223" width="9" bestFit="1" customWidth="1"/>
    <col min="224" max="224" width="8.88671875" bestFit="1" customWidth="1"/>
    <col min="225" max="225" width="20.77734375" bestFit="1" customWidth="1"/>
    <col min="226" max="226" width="31.88671875" bestFit="1" customWidth="1"/>
    <col min="227" max="227" width="8" bestFit="1" customWidth="1"/>
    <col min="228" max="228" width="10.6640625" bestFit="1" customWidth="1"/>
    <col min="229" max="229" width="17.44140625" bestFit="1" customWidth="1"/>
    <col min="230" max="230" width="31.33203125" bestFit="1" customWidth="1"/>
    <col min="231" max="231" width="9" bestFit="1" customWidth="1"/>
    <col min="232" max="232" width="14.88671875" bestFit="1" customWidth="1"/>
    <col min="233" max="233" width="25.6640625" bestFit="1" customWidth="1"/>
    <col min="234" max="234" width="36.44140625" bestFit="1" customWidth="1"/>
    <col min="235" max="235" width="9" bestFit="1" customWidth="1"/>
    <col min="236" max="236" width="19.44140625" bestFit="1" customWidth="1"/>
    <col min="237" max="237" width="16.44140625" bestFit="1" customWidth="1"/>
    <col min="238" max="238" width="43.5546875" bestFit="1" customWidth="1"/>
    <col min="239" max="239" width="9" bestFit="1" customWidth="1"/>
    <col min="240" max="240" width="16.5546875" bestFit="1" customWidth="1"/>
    <col min="241" max="241" width="11.33203125" bestFit="1" customWidth="1"/>
    <col min="242" max="242" width="41.44140625" bestFit="1" customWidth="1"/>
    <col min="243" max="243" width="9" bestFit="1" customWidth="1"/>
    <col min="244" max="244" width="13.44140625" bestFit="1" customWidth="1"/>
    <col min="245" max="245" width="11" bestFit="1" customWidth="1"/>
    <col min="246" max="246" width="34.5546875" bestFit="1" customWidth="1"/>
    <col min="247" max="247" width="9" bestFit="1" customWidth="1"/>
    <col min="248" max="248" width="9.44140625" bestFit="1" customWidth="1"/>
    <col min="249" max="249" width="15.88671875" bestFit="1" customWidth="1"/>
    <col min="250" max="250" width="51.5546875" bestFit="1" customWidth="1"/>
    <col min="251" max="251" width="9" bestFit="1" customWidth="1"/>
    <col min="252" max="252" width="9.6640625" bestFit="1" customWidth="1"/>
    <col min="253" max="253" width="8.6640625" bestFit="1" customWidth="1"/>
    <col min="254" max="254" width="25.88671875" bestFit="1" customWidth="1"/>
    <col min="255" max="255" width="8" bestFit="1" customWidth="1"/>
    <col min="256" max="256" width="22.109375" bestFit="1" customWidth="1"/>
    <col min="257" max="257" width="19.21875" bestFit="1" customWidth="1"/>
    <col min="258" max="258" width="44.21875" bestFit="1" customWidth="1"/>
    <col min="259" max="259" width="9" bestFit="1" customWidth="1"/>
    <col min="260" max="260" width="14" bestFit="1" customWidth="1"/>
    <col min="261" max="261" width="18.44140625" bestFit="1" customWidth="1"/>
    <col min="262" max="262" width="31" bestFit="1" customWidth="1"/>
    <col min="263" max="263" width="9" bestFit="1" customWidth="1"/>
    <col min="264" max="264" width="19.33203125" bestFit="1" customWidth="1"/>
    <col min="265" max="265" width="18" bestFit="1" customWidth="1"/>
    <col min="266" max="266" width="36" bestFit="1" customWidth="1"/>
    <col min="267" max="267" width="9" bestFit="1" customWidth="1"/>
    <col min="268" max="268" width="15.21875" bestFit="1" customWidth="1"/>
    <col min="269" max="269" width="10.5546875" bestFit="1" customWidth="1"/>
    <col min="270" max="270" width="53" bestFit="1" customWidth="1"/>
    <col min="271" max="271" width="9" bestFit="1" customWidth="1"/>
    <col min="272" max="272" width="16.44140625" bestFit="1" customWidth="1"/>
    <col min="273" max="273" width="14.6640625" bestFit="1" customWidth="1"/>
    <col min="274" max="274" width="10.5546875" bestFit="1" customWidth="1"/>
    <col min="275" max="275" width="14.88671875" bestFit="1" customWidth="1"/>
    <col min="276" max="276" width="16.21875" bestFit="1" customWidth="1"/>
    <col min="277" max="277" width="33.109375" bestFit="1" customWidth="1"/>
    <col min="278" max="278" width="9" bestFit="1" customWidth="1"/>
    <col min="279" max="279" width="12.88671875" bestFit="1" customWidth="1"/>
    <col min="281" max="281" width="20.77734375" bestFit="1" customWidth="1"/>
    <col min="282" max="282" width="31.88671875" bestFit="1" customWidth="1"/>
    <col min="283" max="283" width="8" bestFit="1" customWidth="1"/>
    <col min="284" max="284" width="12.21875" bestFit="1" customWidth="1"/>
    <col min="285" max="285" width="10.6640625" bestFit="1" customWidth="1"/>
    <col min="286" max="286" width="17.44140625" bestFit="1" customWidth="1"/>
    <col min="287" max="287" width="31.33203125" bestFit="1" customWidth="1"/>
    <col min="288" max="288" width="9" bestFit="1" customWidth="1"/>
    <col min="289" max="289" width="12.21875" bestFit="1" customWidth="1"/>
    <col min="290" max="290" width="14.88671875" bestFit="1" customWidth="1"/>
    <col min="291" max="291" width="25.6640625" bestFit="1" customWidth="1"/>
    <col min="292" max="292" width="36.44140625" bestFit="1" customWidth="1"/>
    <col min="293" max="293" width="9" bestFit="1" customWidth="1"/>
    <col min="294" max="294" width="9.21875" bestFit="1" customWidth="1"/>
    <col min="295" max="295" width="19.44140625" bestFit="1" customWidth="1"/>
    <col min="296" max="296" width="16.44140625" bestFit="1" customWidth="1"/>
    <col min="297" max="297" width="43.5546875" bestFit="1" customWidth="1"/>
    <col min="298" max="298" width="9" bestFit="1" customWidth="1"/>
    <col min="299" max="299" width="9.21875" bestFit="1" customWidth="1"/>
    <col min="300" max="300" width="16.5546875" bestFit="1" customWidth="1"/>
    <col min="301" max="301" width="11.33203125" bestFit="1" customWidth="1"/>
    <col min="302" max="302" width="41.44140625" bestFit="1" customWidth="1"/>
    <col min="303" max="303" width="9" bestFit="1" customWidth="1"/>
    <col min="304" max="304" width="16.44140625" bestFit="1" customWidth="1"/>
    <col min="305" max="305" width="13.44140625" bestFit="1" customWidth="1"/>
    <col min="306" max="306" width="11" bestFit="1" customWidth="1"/>
    <col min="307" max="307" width="34.5546875" bestFit="1" customWidth="1"/>
    <col min="308" max="308" width="9" bestFit="1" customWidth="1"/>
    <col min="309" max="309" width="12.21875" bestFit="1" customWidth="1"/>
    <col min="310" max="310" width="9.44140625" bestFit="1" customWidth="1"/>
    <col min="311" max="311" width="15.88671875" bestFit="1" customWidth="1"/>
    <col min="312" max="312" width="51.5546875" bestFit="1" customWidth="1"/>
    <col min="313" max="313" width="9" bestFit="1" customWidth="1"/>
    <col min="314" max="314" width="9.21875" bestFit="1" customWidth="1"/>
    <col min="315" max="315" width="9.6640625" bestFit="1" customWidth="1"/>
    <col min="316" max="316" width="8.6640625" bestFit="1" customWidth="1"/>
    <col min="317" max="317" width="25.88671875" bestFit="1" customWidth="1"/>
    <col min="318" max="318" width="8" bestFit="1" customWidth="1"/>
    <col min="319" max="319" width="16.44140625" bestFit="1" customWidth="1"/>
    <col min="320" max="320" width="22.109375" bestFit="1" customWidth="1"/>
    <col min="321" max="321" width="19.21875" bestFit="1" customWidth="1"/>
    <col min="322" max="322" width="44.21875" bestFit="1" customWidth="1"/>
    <col min="323" max="323" width="9" bestFit="1" customWidth="1"/>
    <col min="324" max="324" width="9.21875" bestFit="1" customWidth="1"/>
    <col min="325" max="325" width="14" bestFit="1" customWidth="1"/>
    <col min="326" max="326" width="18.44140625" bestFit="1" customWidth="1"/>
    <col min="327" max="327" width="31" bestFit="1" customWidth="1"/>
    <col min="328" max="328" width="9" bestFit="1" customWidth="1"/>
    <col min="329" max="329" width="12.21875" bestFit="1" customWidth="1"/>
    <col min="330" max="330" width="19.33203125" bestFit="1" customWidth="1"/>
    <col min="331" max="331" width="18" bestFit="1" customWidth="1"/>
    <col min="332" max="332" width="36" bestFit="1" customWidth="1"/>
    <col min="333" max="333" width="9" bestFit="1" customWidth="1"/>
    <col min="334" max="334" width="12.88671875" bestFit="1" customWidth="1"/>
    <col min="335" max="335" width="15.21875" bestFit="1" customWidth="1"/>
    <col min="336" max="336" width="10.5546875" bestFit="1" customWidth="1"/>
    <col min="337" max="337" width="53" bestFit="1" customWidth="1"/>
    <col min="338" max="338" width="9" bestFit="1" customWidth="1"/>
    <col min="339" max="339" width="12.21875" bestFit="1" customWidth="1"/>
    <col min="340" max="340" width="16.44140625" bestFit="1" customWidth="1"/>
    <col min="341" max="341" width="14.6640625" bestFit="1" customWidth="1"/>
    <col min="342" max="342" width="10.5546875" bestFit="1" customWidth="1"/>
  </cols>
  <sheetData>
    <row r="98" spans="2:6" ht="15.6" x14ac:dyDescent="0.3">
      <c r="B98" s="36" t="s">
        <v>677</v>
      </c>
      <c r="C98" s="37"/>
      <c r="D98" s="37"/>
      <c r="E98" s="37"/>
      <c r="F98" s="38"/>
    </row>
    <row r="99" spans="2:6" x14ac:dyDescent="0.3">
      <c r="B99" s="39" t="s">
        <v>678</v>
      </c>
      <c r="C99" s="40"/>
      <c r="D99" s="40"/>
      <c r="E99" s="40"/>
      <c r="F99" s="41"/>
    </row>
    <row r="100" spans="2:6" x14ac:dyDescent="0.3">
      <c r="B100" s="20" t="s">
        <v>13</v>
      </c>
      <c r="C100" s="20" t="s">
        <v>15</v>
      </c>
      <c r="D100" s="20" t="s">
        <v>41</v>
      </c>
      <c r="E100" s="21" t="s">
        <v>22</v>
      </c>
      <c r="F100" s="30" t="s">
        <v>37</v>
      </c>
    </row>
    <row r="101" spans="2:6" x14ac:dyDescent="0.3">
      <c r="B101" s="9" t="s">
        <v>252</v>
      </c>
      <c r="C101" s="10" t="s">
        <v>254</v>
      </c>
      <c r="D101" s="10" t="s">
        <v>46</v>
      </c>
      <c r="E101" s="22" t="s">
        <v>260</v>
      </c>
      <c r="F101" s="14">
        <v>0.49</v>
      </c>
    </row>
    <row r="102" spans="2:6" x14ac:dyDescent="0.3">
      <c r="B102" s="17" t="s">
        <v>273</v>
      </c>
      <c r="C102" s="18" t="s">
        <v>274</v>
      </c>
      <c r="D102" s="18" t="s">
        <v>46</v>
      </c>
      <c r="E102" s="23" t="s">
        <v>280</v>
      </c>
      <c r="F102" s="19">
        <v>0.48</v>
      </c>
    </row>
    <row r="103" spans="2:6" x14ac:dyDescent="0.3">
      <c r="B103" s="11" t="s">
        <v>437</v>
      </c>
      <c r="C103" t="s">
        <v>439</v>
      </c>
      <c r="D103" t="s">
        <v>46</v>
      </c>
      <c r="E103" s="24" t="s">
        <v>445</v>
      </c>
      <c r="F103" s="15">
        <v>0.48</v>
      </c>
    </row>
    <row r="104" spans="2:6" x14ac:dyDescent="0.3">
      <c r="B104" s="26" t="s">
        <v>645</v>
      </c>
      <c r="C104" s="27" t="s">
        <v>358</v>
      </c>
      <c r="D104" s="27" t="s">
        <v>345</v>
      </c>
      <c r="E104" s="28" t="s">
        <v>650</v>
      </c>
      <c r="F104" s="29">
        <v>0.47</v>
      </c>
    </row>
    <row r="105" spans="2:6" x14ac:dyDescent="0.3">
      <c r="B105" s="17" t="s">
        <v>330</v>
      </c>
      <c r="C105" s="18" t="s">
        <v>182</v>
      </c>
      <c r="D105" s="18" t="s">
        <v>46</v>
      </c>
      <c r="E105" s="23" t="s">
        <v>334</v>
      </c>
      <c r="F105" s="19">
        <v>0.45</v>
      </c>
    </row>
    <row r="106" spans="2:6" x14ac:dyDescent="0.3">
      <c r="B106" s="11" t="s">
        <v>567</v>
      </c>
      <c r="C106" t="s">
        <v>95</v>
      </c>
      <c r="D106" t="s">
        <v>46</v>
      </c>
      <c r="E106" s="24" t="s">
        <v>572</v>
      </c>
      <c r="F106" s="15">
        <v>0.44</v>
      </c>
    </row>
    <row r="107" spans="2:6" x14ac:dyDescent="0.3">
      <c r="B107" s="26" t="s">
        <v>520</v>
      </c>
      <c r="C107" s="27" t="s">
        <v>128</v>
      </c>
      <c r="D107" s="27" t="s">
        <v>345</v>
      </c>
      <c r="E107" s="28" t="s">
        <v>525</v>
      </c>
      <c r="F107" s="29">
        <v>0.43</v>
      </c>
    </row>
    <row r="108" spans="2:6" x14ac:dyDescent="0.3">
      <c r="B108" s="26" t="s">
        <v>338</v>
      </c>
      <c r="C108" s="27" t="s">
        <v>155</v>
      </c>
      <c r="D108" s="27" t="s">
        <v>345</v>
      </c>
      <c r="E108" s="28" t="s">
        <v>344</v>
      </c>
      <c r="F108" s="29">
        <v>0.42</v>
      </c>
    </row>
    <row r="109" spans="2:6" x14ac:dyDescent="0.3">
      <c r="B109" s="17" t="s">
        <v>575</v>
      </c>
      <c r="C109" s="18" t="s">
        <v>577</v>
      </c>
      <c r="D109" s="18" t="s">
        <v>46</v>
      </c>
      <c r="E109" s="23" t="s">
        <v>582</v>
      </c>
      <c r="F109" s="19">
        <v>0.42</v>
      </c>
    </row>
    <row r="110" spans="2:6" x14ac:dyDescent="0.3">
      <c r="B110" s="11" t="s">
        <v>529</v>
      </c>
      <c r="C110" t="s">
        <v>531</v>
      </c>
      <c r="D110" t="s">
        <v>46</v>
      </c>
      <c r="E110" s="24" t="s">
        <v>537</v>
      </c>
      <c r="F110" s="15">
        <v>0.41</v>
      </c>
    </row>
    <row r="111" spans="2:6" x14ac:dyDescent="0.3">
      <c r="B111" s="11" t="s">
        <v>7</v>
      </c>
      <c r="C111" t="s">
        <v>8</v>
      </c>
      <c r="D111" t="s">
        <v>46</v>
      </c>
      <c r="E111" s="24" t="s">
        <v>3</v>
      </c>
      <c r="F111" s="15">
        <v>0.36</v>
      </c>
    </row>
    <row r="112" spans="2:6" x14ac:dyDescent="0.3">
      <c r="B112" s="17" t="s">
        <v>70</v>
      </c>
      <c r="C112" s="18" t="s">
        <v>71</v>
      </c>
      <c r="D112" s="18" t="s">
        <v>46</v>
      </c>
      <c r="E112" s="23" t="s">
        <v>77</v>
      </c>
      <c r="F112" s="19">
        <v>0.36</v>
      </c>
    </row>
    <row r="113" spans="2:19" ht="19.2" customHeight="1" x14ac:dyDescent="0.3">
      <c r="B113" s="11" t="s">
        <v>93</v>
      </c>
      <c r="C113" t="s">
        <v>95</v>
      </c>
      <c r="D113" t="s">
        <v>46</v>
      </c>
      <c r="E113" s="24" t="s">
        <v>101</v>
      </c>
      <c r="F113" s="15">
        <v>0.33</v>
      </c>
      <c r="S113" s="2"/>
    </row>
    <row r="114" spans="2:19" x14ac:dyDescent="0.3">
      <c r="B114" s="26" t="s">
        <v>558</v>
      </c>
      <c r="C114" s="27" t="s">
        <v>560</v>
      </c>
      <c r="D114" s="27" t="s">
        <v>345</v>
      </c>
      <c r="E114" s="28" t="s">
        <v>564</v>
      </c>
      <c r="F114" s="29">
        <v>0.33</v>
      </c>
    </row>
    <row r="115" spans="2:19" x14ac:dyDescent="0.3">
      <c r="B115" s="26" t="s">
        <v>373</v>
      </c>
      <c r="C115" s="27" t="s">
        <v>374</v>
      </c>
      <c r="D115" s="27" t="s">
        <v>345</v>
      </c>
      <c r="E115" s="28" t="s">
        <v>378</v>
      </c>
      <c r="F115" s="29">
        <v>0.32</v>
      </c>
    </row>
    <row r="116" spans="2:19" x14ac:dyDescent="0.3">
      <c r="B116" s="17" t="s">
        <v>426</v>
      </c>
      <c r="C116" s="18" t="s">
        <v>428</v>
      </c>
      <c r="D116" s="18" t="s">
        <v>46</v>
      </c>
      <c r="E116" s="23" t="s">
        <v>434</v>
      </c>
      <c r="F116" s="19">
        <v>0.31</v>
      </c>
    </row>
    <row r="117" spans="2:19" x14ac:dyDescent="0.3">
      <c r="B117" s="11" t="s">
        <v>610</v>
      </c>
      <c r="C117" t="s">
        <v>611</v>
      </c>
      <c r="D117" t="s">
        <v>46</v>
      </c>
      <c r="E117" s="24" t="s">
        <v>617</v>
      </c>
      <c r="F117" s="15">
        <v>0.28000000000000003</v>
      </c>
    </row>
    <row r="118" spans="2:19" x14ac:dyDescent="0.3">
      <c r="B118" s="17" t="s">
        <v>636</v>
      </c>
      <c r="C118" s="18" t="s">
        <v>637</v>
      </c>
      <c r="D118" s="18" t="s">
        <v>46</v>
      </c>
      <c r="E118" s="23" t="s">
        <v>642</v>
      </c>
      <c r="F118" s="19">
        <v>0.27</v>
      </c>
    </row>
    <row r="119" spans="2:19" x14ac:dyDescent="0.3">
      <c r="B119" s="17" t="s">
        <v>366</v>
      </c>
      <c r="C119" s="18" t="s">
        <v>128</v>
      </c>
      <c r="D119" s="18" t="s">
        <v>46</v>
      </c>
      <c r="E119" s="23" t="s">
        <v>370</v>
      </c>
      <c r="F119" s="19">
        <v>0.23</v>
      </c>
    </row>
    <row r="120" spans="2:19" x14ac:dyDescent="0.3">
      <c r="B120" s="17" t="s">
        <v>154</v>
      </c>
      <c r="C120" s="18" t="s">
        <v>155</v>
      </c>
      <c r="D120" s="18" t="s">
        <v>46</v>
      </c>
      <c r="E120" s="23" t="s">
        <v>159</v>
      </c>
      <c r="F120" s="19">
        <v>0.21</v>
      </c>
    </row>
    <row r="121" spans="2:19" x14ac:dyDescent="0.3">
      <c r="B121" s="11" t="s">
        <v>180</v>
      </c>
      <c r="C121" t="s">
        <v>182</v>
      </c>
      <c r="D121" t="s">
        <v>46</v>
      </c>
      <c r="E121" s="24" t="s">
        <v>187</v>
      </c>
      <c r="F121" s="15">
        <v>0.18</v>
      </c>
    </row>
    <row r="122" spans="2:19" x14ac:dyDescent="0.3">
      <c r="B122" s="17" t="s">
        <v>190</v>
      </c>
      <c r="C122" s="18" t="s">
        <v>191</v>
      </c>
      <c r="D122" s="18" t="s">
        <v>46</v>
      </c>
      <c r="E122" s="23" t="s">
        <v>197</v>
      </c>
      <c r="F122" s="19">
        <v>0.18</v>
      </c>
    </row>
    <row r="123" spans="2:19" x14ac:dyDescent="0.3">
      <c r="B123" s="17" t="s">
        <v>216</v>
      </c>
      <c r="C123" s="18" t="s">
        <v>218</v>
      </c>
      <c r="D123" s="18" t="s">
        <v>46</v>
      </c>
      <c r="E123" s="23" t="s">
        <v>222</v>
      </c>
      <c r="F123" s="19">
        <v>0.17</v>
      </c>
    </row>
    <row r="124" spans="2:19" x14ac:dyDescent="0.3">
      <c r="B124" s="11" t="s">
        <v>200</v>
      </c>
      <c r="C124" t="s">
        <v>201</v>
      </c>
      <c r="D124" t="s">
        <v>46</v>
      </c>
      <c r="E124" s="24" t="s">
        <v>206</v>
      </c>
      <c r="F124" s="15">
        <v>0.15</v>
      </c>
    </row>
    <row r="125" spans="2:19" x14ac:dyDescent="0.3">
      <c r="B125" s="12" t="s">
        <v>312</v>
      </c>
      <c r="C125" s="13" t="s">
        <v>128</v>
      </c>
      <c r="D125" s="13" t="s">
        <v>46</v>
      </c>
      <c r="E125" s="25" t="s">
        <v>317</v>
      </c>
      <c r="F125" s="16">
        <v>0.12</v>
      </c>
    </row>
  </sheetData>
  <mergeCells count="2">
    <mergeCell ref="B98:F98"/>
    <mergeCell ref="B99:F9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dataset_metgala_26</vt:lpstr>
      <vt:lpstr>legend</vt:lpstr>
      <vt:lpstr>analysis_pivot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 Kuncheva</dc:creator>
  <cp:lastModifiedBy>Karina Kuncheva</cp:lastModifiedBy>
  <dcterms:created xsi:type="dcterms:W3CDTF">2026-05-05T18:37:58Z</dcterms:created>
  <dcterms:modified xsi:type="dcterms:W3CDTF">2026-05-07T21:25:11Z</dcterms:modified>
</cp:coreProperties>
</file>